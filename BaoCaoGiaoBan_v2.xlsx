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m_co_so" sheetId="2" state="visible" r:id="rId4"/>
    <sheet name="dm_canbo" sheetId="3" state="visible" r:id="rId5"/>
    <sheet name="dm_khoa" sheetId="4" state="visible" r:id="rId6"/>
    <sheet name="cfg_threshold" sheetId="5" state="visible" r:id="rId7"/>
    <sheet name="5A. Tổ kho - Tồn" sheetId="6" state="visible" r:id="rId8"/>
    <sheet name="5B. Tổ kho - Đề xuất" sheetId="7" state="visible" r:id="rId9"/>
    <sheet name="VTTH (mẫu refactor)" sheetId="8" state="visible" r:id="rId10"/>
    <sheet name="Dashboard (preview)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<sst xmlns="http://schemas.openxmlformats.org/spreadsheetml/2006/main" count="303" uniqueCount="224">
  <si>
    <t xml:space="preserve">BÁO CÁO GIAO BAN PHÒNG VT-TBYT — TEMPLATE v2</t>
  </si>
  <si>
    <t xml:space="preserve">Mục đích</t>
  </si>
  <si>
    <t xml:space="preserve">Cung cấp khung dữ liệu chuẩn để 4 tổ (Kỹ thuật, Hồ sơ, Vật tư tiêu hao, Kho) nhập liệu thống nhất, tự động tổng hợp lên Dashboard và Cảnh báo phục vụ giao ban.</t>
  </si>
  <si>
    <t xml:space="preserve">Hướng dẫn nhanh</t>
  </si>
  <si>
    <t xml:space="preserve">1.</t>
  </si>
  <si>
    <t xml:space="preserve">Mở file Google Sheet hiện tại (Báo cáo Giao ban Phòng).</t>
  </si>
  <si>
    <t xml:space="preserve">2.</t>
  </si>
  <si>
    <t xml:space="preserve">Tạo các tab MỚI dưới đây bằng cách import từng sheet trong file này (File → Import → Insert new sheet).</t>
  </si>
  <si>
    <t xml:space="preserve">3.</t>
  </si>
  <si>
    <t xml:space="preserve">Các tab cần TẠO MỚI: 5A. Tổ kho - Tồn &amp; Cảnh báo, 5B. Tổ kho - Đề xuất khoa phòng, cfg_threshold, dm_canbo, dm_khoa, dm_co_so.</t>
  </si>
  <si>
    <t xml:space="preserve">4.</t>
  </si>
  <si>
    <t xml:space="preserve">Các tab CŨ (Nhóm kỹ thuật, DS TB, VTTH, Hồ sơ): theo file HuongDan_ThucThi.docx — đổi định dạng cột Ngày, thêm Data Validation, không xoá dữ liệu cũ.</t>
  </si>
  <si>
    <t xml:space="preserve">5.</t>
  </si>
  <si>
    <t xml:space="preserve">Sau khi import xong các tab, mở Apps Script (Tiện ích mở rộng → Apps Script) và dán code từ AppScript_v2.gs.</t>
  </si>
  <si>
    <t xml:space="preserve">6.</t>
  </si>
  <si>
    <t xml:space="preserve">Cài đặt 2 Trigger trong Apps Script: onEdit (tự động) + Time-driven 7:30 sáng (gửi email Brief Sáng).</t>
  </si>
  <si>
    <t xml:space="preserve">7.</t>
  </si>
  <si>
    <t xml:space="preserve">Quy ước màu: VÀNG = ô cần nhập tay, XANH NHẠT = ô tự động (đừng nhập đè), XANH ĐẬM = header.</t>
  </si>
  <si>
    <t xml:space="preserve">Quy ước màu trong template</t>
  </si>
  <si>
    <t xml:space="preserve">Header</t>
  </si>
  <si>
    <t xml:space="preserve">Sub-header</t>
  </si>
  <si>
    <t xml:space="preserve">Ô nhập tay (key input)</t>
  </si>
  <si>
    <t xml:space="preserve">Ô auto-lookup/tính</t>
  </si>
  <si>
    <t xml:space="preserve">Liên hệ hỗ trợ</t>
  </si>
  <si>
    <t xml:space="preserve">Trưởng phòng VT-TBYT — Bệnh viện K</t>
  </si>
  <si>
    <t xml:space="preserve">Mã</t>
  </si>
  <si>
    <t xml:space="preserve">Tên cơ sở</t>
  </si>
  <si>
    <t xml:space="preserve">CS1</t>
  </si>
  <si>
    <t xml:space="preserve">Cơ sở 1 - Quán Sứ</t>
  </si>
  <si>
    <t xml:space="preserve">CS2</t>
  </si>
  <si>
    <t xml:space="preserve">Cơ sở 2 - Tam Hiệp</t>
  </si>
  <si>
    <t xml:space="preserve">CS3</t>
  </si>
  <si>
    <t xml:space="preserve">Cơ sở 3 - Tân Triều</t>
  </si>
  <si>
    <t xml:space="preserve">ALL</t>
  </si>
  <si>
    <t xml:space="preserve">Cả 3 cơ sở</t>
  </si>
  <si>
    <t xml:space="preserve">Họ tên</t>
  </si>
  <si>
    <t xml:space="preserve">Tổ</t>
  </si>
  <si>
    <t xml:space="preserve">Vai trò</t>
  </si>
  <si>
    <t xml:space="preserve">Email</t>
  </si>
  <si>
    <t xml:space="preserve">SĐT</t>
  </si>
  <si>
    <t xml:space="preserve">Ghi chú</t>
  </si>
  <si>
    <t xml:space="preserve">Hoàng Thế Hà</t>
  </si>
  <si>
    <t xml:space="preserve">Lãnh đạo</t>
  </si>
  <si>
    <t xml:space="preserve">Trưởng phòng</t>
  </si>
  <si>
    <t xml:space="preserve">Bùi Tuấn Nam</t>
  </si>
  <si>
    <t xml:space="preserve">Phó phòng</t>
  </si>
  <si>
    <t xml:space="preserve">Trần Thị Phượng</t>
  </si>
  <si>
    <t xml:space="preserve">Tổ Kỹ thuật</t>
  </si>
  <si>
    <t xml:space="preserve">Đỗ Công Chính</t>
  </si>
  <si>
    <t xml:space="preserve">Phan Việt Đức</t>
  </si>
  <si>
    <t xml:space="preserve">Nguyễn Đăng Nhàn</t>
  </si>
  <si>
    <t xml:space="preserve">Nguyễn Ngọc Nam</t>
  </si>
  <si>
    <t xml:space="preserve">Đỗ Vi Vũ Anh</t>
  </si>
  <si>
    <t xml:space="preserve">Nguyễn Hoàng Vũ</t>
  </si>
  <si>
    <t xml:space="preserve">Ngô Thủy Linh</t>
  </si>
  <si>
    <t xml:space="preserve">Phạm Quang Hiển</t>
  </si>
  <si>
    <t xml:space="preserve">Tổ Hồ sơ</t>
  </si>
  <si>
    <t xml:space="preserve">Nguyễn Thị Hương</t>
  </si>
  <si>
    <t xml:space="preserve">Nguyễn Thanh Hải</t>
  </si>
  <si>
    <t xml:space="preserve">Nguyễn Quang Tuấn</t>
  </si>
  <si>
    <t xml:space="preserve">Hoàng Văn Thuận</t>
  </si>
  <si>
    <t xml:space="preserve">Nguyễn Tuấn Dũng</t>
  </si>
  <si>
    <t xml:space="preserve">Vũ Thị Thu Hằng</t>
  </si>
  <si>
    <t xml:space="preserve">Ngô Thùy Linh</t>
  </si>
  <si>
    <t xml:space="preserve">Nguyễn Hoàng Minh</t>
  </si>
  <si>
    <t xml:space="preserve">Lê Thị Học</t>
  </si>
  <si>
    <t xml:space="preserve">Đỗ Trọng Hiếu</t>
  </si>
  <si>
    <t xml:space="preserve">Nông Thị Hà Phương</t>
  </si>
  <si>
    <t xml:space="preserve">Tổ Vật tư</t>
  </si>
  <si>
    <t xml:space="preserve">Trịnh Quang Nguyên</t>
  </si>
  <si>
    <t xml:space="preserve">Khuất Văn Huy</t>
  </si>
  <si>
    <t xml:space="preserve">Đinh Hồng Phúc</t>
  </si>
  <si>
    <t xml:space="preserve">Nguyễn Thị Phương Nga</t>
  </si>
  <si>
    <t xml:space="preserve">Trần Thế Anh</t>
  </si>
  <si>
    <t xml:space="preserve">Tổ Kho</t>
  </si>
  <si>
    <t xml:space="preserve">Nguyễn Đức Thịnh</t>
  </si>
  <si>
    <t xml:space="preserve">Trần Thị Thanh Nga</t>
  </si>
  <si>
    <t xml:space="preserve">Nguyễn Thị Lan Anh</t>
  </si>
  <si>
    <t xml:space="preserve">Nguyễn Thị Cẩm Tú</t>
  </si>
  <si>
    <t xml:space="preserve">Nguyễn Thanh Bách</t>
  </si>
  <si>
    <t xml:space="preserve">DM KHOA TRỌNG YẾU — Sếp bổ sung thêm khoa nếu cần. Cột 'Trọng yếu' chỉ nhận TRUE/FALSE.</t>
  </si>
  <si>
    <t xml:space="preserve">Mã khoa</t>
  </si>
  <si>
    <t xml:space="preserve">Tên khoa</t>
  </si>
  <si>
    <t xml:space="preserve">Cơ sở áp dụng</t>
  </si>
  <si>
    <t xml:space="preserve">Trọng yếu (TRUE/FALSE)</t>
  </si>
  <si>
    <t xml:space="preserve">Lý do trọng yếu</t>
  </si>
  <si>
    <t xml:space="preserve">GMHS</t>
  </si>
  <si>
    <t xml:space="preserve">Khoa Gây mê hồi sức</t>
  </si>
  <si>
    <t xml:space="preserve">TRUE</t>
  </si>
  <si>
    <t xml:space="preserve">Trước/trong mổ - không thể gián đoạn</t>
  </si>
  <si>
    <t xml:space="preserve">HSCC</t>
  </si>
  <si>
    <t xml:space="preserve">Khoa Hồi sức cấp cứu</t>
  </si>
  <si>
    <t xml:space="preserve">Bệnh nhân nặng - hoạt động 24/7</t>
  </si>
  <si>
    <t xml:space="preserve">CDHA</t>
  </si>
  <si>
    <t xml:space="preserve">Trung tâm Chẩn đoán hình ảnh</t>
  </si>
  <si>
    <t xml:space="preserve">Chẩn đoán → quyết định điều trị</t>
  </si>
  <si>
    <t xml:space="preserve">KSNK</t>
  </si>
  <si>
    <t xml:space="preserve">Khoa Kiểm soát nhiễm khuẩn</t>
  </si>
  <si>
    <t xml:space="preserve">Máy giặt/hấp/sấy hỏng = không có dụng cụ vô trùng</t>
  </si>
  <si>
    <t xml:space="preserve">GPB</t>
  </si>
  <si>
    <t xml:space="preserve">Trung tâm GPB - SHPT</t>
  </si>
  <si>
    <t xml:space="preserve">Giải phẫu bệnh là nền tảng chẩn đoán K</t>
  </si>
  <si>
    <t xml:space="preserve">PK</t>
  </si>
  <si>
    <t xml:space="preserve">Phòng khám</t>
  </si>
  <si>
    <t xml:space="preserve">Đầu mối tiếp đón bệnh nhân</t>
  </si>
  <si>
    <t xml:space="preserve">XT</t>
  </si>
  <si>
    <t xml:space="preserve">Khoa Xạ trị / Khối Xạ</t>
  </si>
  <si>
    <t xml:space="preserve">Máy gia tốc hỏng = lùi kế hoạch xạ cả tuần</t>
  </si>
  <si>
    <t xml:space="preserve">PTM</t>
  </si>
  <si>
    <t xml:space="preserve">Khoa Phẫu thuật / Phòng mổ</t>
  </si>
  <si>
    <t xml:space="preserve">Trung tâm phẫu thuật</t>
  </si>
  <si>
    <t xml:space="preserve">XN</t>
  </si>
  <si>
    <t xml:space="preserve">Trung tâm/Khoa Xét nghiệm</t>
  </si>
  <si>
    <t xml:space="preserve">Hoá chất hết → xét nghiệm dừng → điều trị dừng</t>
  </si>
  <si>
    <t xml:space="preserve">YHHN</t>
  </si>
  <si>
    <t xml:space="preserve">Khoa Y học hạt nhân</t>
  </si>
  <si>
    <t xml:space="preserve">SPECT/CT, máy đặc thù</t>
  </si>
  <si>
    <t xml:space="preserve">DD</t>
  </si>
  <si>
    <t xml:space="preserve">Phòng Điều dưỡng</t>
  </si>
  <si>
    <t xml:space="preserve">FALSE</t>
  </si>
  <si>
    <t xml:space="preserve">DUOC</t>
  </si>
  <si>
    <t xml:space="preserve">Khoa Dược</t>
  </si>
  <si>
    <t xml:space="preserve">KHTH</t>
  </si>
  <si>
    <t xml:space="preserve">Phòng KH Tổng hợp</t>
  </si>
  <si>
    <t xml:space="preserve">VTTBYT</t>
  </si>
  <si>
    <t xml:space="preserve">Phòng Vật tư - TBYT</t>
  </si>
  <si>
    <t xml:space="preserve">HCQT</t>
  </si>
  <si>
    <t xml:space="preserve">Phòng Hành chính Quản trị</t>
  </si>
  <si>
    <t xml:space="preserve">Chỉ số</t>
  </si>
  <si>
    <t xml:space="preserve">Đơn vị</t>
  </si>
  <si>
    <t xml:space="preserve">Ngưỡng VÀNG (cảnh báo)</t>
  </si>
  <si>
    <t xml:space="preserve">Ngưỡng ĐỎ (nguy cấp)</t>
  </si>
  <si>
    <t xml:space="preserve">Mô tả</t>
  </si>
  <si>
    <t xml:space="preserve">Kỹ thuật</t>
  </si>
  <si>
    <t xml:space="preserve">Số ngày trễ Deadline (TB hỏng)</t>
  </si>
  <si>
    <t xml:space="preserve">ngày</t>
  </si>
  <si>
    <t xml:space="preserve">Yellow: đã quá deadline. Red: trễ ≥ 7 ngày.</t>
  </si>
  <si>
    <t xml:space="preserve">Tỷ lệ TB hỏng / tổng TB</t>
  </si>
  <si>
    <t xml:space="preserve">%</t>
  </si>
  <si>
    <t xml:space="preserve">Yellow: 10-20%. Red: ≥ 20% danh mục TB đang hỏng.</t>
  </si>
  <si>
    <t xml:space="preserve">Số TB hỏng tại khoa trọng yếu</t>
  </si>
  <si>
    <t xml:space="preserve">máy</t>
  </si>
  <si>
    <t xml:space="preserve">Yellow: 1-2 máy. Red: ≥ 3 máy hỏng cùng khoa trọng yếu.</t>
  </si>
  <si>
    <t xml:space="preserve">Hồ sơ</t>
  </si>
  <si>
    <t xml:space="preserve">Số ngày trễ tiến độ gói thầu</t>
  </si>
  <si>
    <t xml:space="preserve">Yellow: đã trễ. Red: trễ ≥ 14 ngày so với deadline.</t>
  </si>
  <si>
    <t xml:space="preserve">Số gói thầu đang vướng</t>
  </si>
  <si>
    <t xml:space="preserve">gói</t>
  </si>
  <si>
    <t xml:space="preserve">Yellow: 1-2 gói có vướng. Red: ≥ 3 gói cùng vướng.</t>
  </si>
  <si>
    <t xml:space="preserve">Vật tư</t>
  </si>
  <si>
    <t xml:space="preserve">Số ngày trễ ký HĐ/Thanh toán</t>
  </si>
  <si>
    <t xml:space="preserve">Yellow: đã trễ. Red: trễ ≥ 10 ngày.</t>
  </si>
  <si>
    <t xml:space="preserve">Số HĐ chờ ký quá lâu</t>
  </si>
  <si>
    <t xml:space="preserve">HĐ</t>
  </si>
  <si>
    <t xml:space="preserve">Yellow: có HĐ chờ. Red: ≥ 3 HĐ cùng tồn đọng.</t>
  </si>
  <si>
    <t xml:space="preserve">Kho</t>
  </si>
  <si>
    <t xml:space="preserve">Tồn dưới định mức tối thiểu</t>
  </si>
  <si>
    <t xml:space="preserve">% so với min. Yellow: ≤80% min. Red: ≤50% min hoặc =0.</t>
  </si>
  <si>
    <t xml:space="preserve">Số ngày tồn (DOH - days on hand)</t>
  </si>
  <si>
    <t xml:space="preserve">Yellow: còn 7 ngày. Red: còn ≤ 3 ngày.</t>
  </si>
  <si>
    <t xml:space="preserve">Số khoa cùng yêu cầu 1 mặt hàng</t>
  </si>
  <si>
    <t xml:space="preserve">khoa</t>
  </si>
  <si>
    <t xml:space="preserve">Yellow: 2-3 khoa. Red: ≥ 4 khoa = hot item, cần ưu tiên.</t>
  </si>
  <si>
    <t xml:space="preserve">Số yêu cầu của khoa trọng yếu chưa cấp</t>
  </si>
  <si>
    <t xml:space="preserve">yêu cầu</t>
  </si>
  <si>
    <t xml:space="preserve">Yellow: có 1 yêu cầu chưa cấp. Red: ≥ 2.</t>
  </si>
  <si>
    <t xml:space="preserve">STT</t>
  </si>
  <si>
    <t xml:space="preserve">Mã VTTH</t>
  </si>
  <si>
    <t xml:space="preserve">Tên VTTH</t>
  </si>
  <si>
    <t xml:space="preserve">Loại</t>
  </si>
  <si>
    <t xml:space="preserve">Cơ sở</t>
  </si>
  <si>
    <t xml:space="preserve">CB phụ trách</t>
  </si>
  <si>
    <t xml:space="preserve">Tồn đầu kỳ</t>
  </si>
  <si>
    <t xml:space="preserve">Nhập trong kỳ</t>
  </si>
  <si>
    <t xml:space="preserve">Xuất trong kỳ</t>
  </si>
  <si>
    <t xml:space="preserve">Tồn hiện tại</t>
  </si>
  <si>
    <t xml:space="preserve">Định mức MIN</t>
  </si>
  <si>
    <t xml:space="preserve">Định mức MAX</t>
  </si>
  <si>
    <t xml:space="preserve">Trạng thái cảnh báo</t>
  </si>
  <si>
    <t xml:space="preserve">Số ngày tồn (DOH)</t>
  </si>
  <si>
    <t xml:space="preserve">Khoa yêu cầu nhiều nhất</t>
  </si>
  <si>
    <t xml:space="preserve">Số khoa đang chờ</t>
  </si>
  <si>
    <t xml:space="preserve">Đề xuất xử lý</t>
  </si>
  <si>
    <t xml:space="preserve">Ghi chú / Cập nhật</t>
  </si>
  <si>
    <t xml:space="preserve">Ngày yêu cầu</t>
  </si>
  <si>
    <t xml:space="preserve">Khoa yêu cầu</t>
  </si>
  <si>
    <t xml:space="preserve">Người yêu cầu</t>
  </si>
  <si>
    <t xml:space="preserve">VTTH yêu cầu</t>
  </si>
  <si>
    <t xml:space="preserve">Số lượng</t>
  </si>
  <si>
    <t xml:space="preserve">Mức ưu tiên</t>
  </si>
  <si>
    <t xml:space="preserve">Trạng thái xử lý</t>
  </si>
  <si>
    <t xml:space="preserve">CB Kho xử lý</t>
  </si>
  <si>
    <t xml:space="preserve">Ngày dự kiến cấp</t>
  </si>
  <si>
    <t xml:space="preserve">Ngày thực cấp</t>
  </si>
  <si>
    <t xml:space="preserve">Loại nhóm</t>
  </si>
  <si>
    <t xml:space="preserve">Tên gói/mặt hàng</t>
  </si>
  <si>
    <t xml:space="preserve">Khoa sử dụng</t>
  </si>
  <si>
    <t xml:space="preserve">CB Hồ sơ phối hợp</t>
  </si>
  <si>
    <t xml:space="preserve">Trạng thái</t>
  </si>
  <si>
    <t xml:space="preserve">Tiến độ (%)</t>
  </si>
  <si>
    <t xml:space="preserve">Ngày bắt đầu</t>
  </si>
  <si>
    <t xml:space="preserve">Ngày dự kiến HT</t>
  </si>
  <si>
    <t xml:space="preserve">Deadline</t>
  </si>
  <si>
    <t xml:space="preserve">Khó khăn / vướng mắc</t>
  </si>
  <si>
    <t xml:space="preserve">Đề xuất</t>
  </si>
  <si>
    <t xml:space="preserve">Cấp độ ưu tiên</t>
  </si>
  <si>
    <t xml:space="preserve">Đã hoàn thành</t>
  </si>
  <si>
    <t xml:space="preserve">DASHBOARD GIAO BAN — TỔNG HỢP</t>
  </si>
  <si>
    <t xml:space="preserve">Cập nhật lần cuối:</t>
  </si>
  <si>
    <t xml:space="preserve">1. KỸ THUẬT — Thiết bị hỏng/đang sửa</t>
  </si>
  <si>
    <t xml:space="preserve">Tổng đầu việc</t>
  </si>
  <si>
    <t xml:space="preserve">Đang xử lý</t>
  </si>
  <si>
    <t xml:space="preserve">ƯU TIÊN CAO (khoa trọng yếu)</t>
  </si>
  <si>
    <t xml:space="preserve">2. HỒ SƠ — Gói thầu / quy trình</t>
  </si>
  <si>
    <t xml:space="preserve">Tổng gói/mặt hàng</t>
  </si>
  <si>
    <t xml:space="preserve">Đang vướng mắc</t>
  </si>
  <si>
    <t xml:space="preserve">3. VẬT TƯ TIÊU HAO - HOÁ CHẤT</t>
  </si>
  <si>
    <t xml:space="preserve">Ưu tiên CAO</t>
  </si>
  <si>
    <t xml:space="preserve">Vướng mắc / chờ phê duyệt</t>
  </si>
  <si>
    <t xml:space="preserve">4. KHO — Tồn &amp; Đề xuất</t>
  </si>
  <si>
    <t xml:space="preserve">Số mã ĐỎ (hết/cực thấp)</t>
  </si>
  <si>
    <t xml:space="preserve">Số mã VÀNG</t>
  </si>
  <si>
    <t xml:space="preserve">Yêu cầu chờ tiếp nhận</t>
  </si>
  <si>
    <t xml:space="preserve">Yêu cầu ưu tiên CAO chưa cấp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</si>
</sst>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%"/>
    <numFmt numFmtId="167" formatCode="dd/mm/yyyy\ hh:mm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D6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80"/>
  </cols>
  <sheetData>
    <row r="2" customFormat="false" ht="19.7" hidden="false" customHeight="false" outlineLevel="0" collapsed="false">
      <c r="B2" s="1" t="s">
        <v>0</v>
      </c>
      <c r="C2" s="1"/>
    </row>
    <row r="4" customFormat="false" ht="23.85" hidden="false" customHeight="false" outlineLevel="0" collapsed="false">
      <c r="B4" s="2" t="s">
        <v>1</v>
      </c>
      <c r="C4" s="3" t="s">
        <v>2</v>
      </c>
    </row>
    <row r="6" customFormat="false" ht="15" hidden="false" customHeight="false" outlineLevel="0" collapsed="false">
      <c r="B6" s="2" t="s">
        <v>3</v>
      </c>
    </row>
    <row r="7" customFormat="false" ht="30" hidden="false" customHeight="true" outlineLevel="0" collapsed="false">
      <c r="B7" s="4" t="s">
        <v>4</v>
      </c>
      <c r="C7" s="3" t="s">
        <v>5</v>
      </c>
    </row>
    <row r="8" customFormat="false" ht="30" hidden="false" customHeight="true" outlineLevel="0" collapsed="false">
      <c r="B8" s="4" t="s">
        <v>6</v>
      </c>
      <c r="C8" s="3" t="s">
        <v>7</v>
      </c>
    </row>
    <row r="9" customFormat="false" ht="30" hidden="false" customHeight="true" outlineLevel="0" collapsed="false">
      <c r="B9" s="4" t="s">
        <v>8</v>
      </c>
      <c r="C9" s="3" t="s">
        <v>9</v>
      </c>
    </row>
    <row r="10" customFormat="false" ht="30" hidden="false" customHeight="true" outlineLevel="0" collapsed="false">
      <c r="B10" s="4" t="s">
        <v>10</v>
      </c>
      <c r="C10" s="3" t="s">
        <v>11</v>
      </c>
    </row>
    <row r="11" customFormat="false" ht="30" hidden="false" customHeight="true" outlineLevel="0" collapsed="false">
      <c r="B11" s="4" t="s">
        <v>12</v>
      </c>
      <c r="C11" s="3" t="s">
        <v>13</v>
      </c>
    </row>
    <row r="12" customFormat="false" ht="30" hidden="false" customHeight="true" outlineLevel="0" collapsed="false">
      <c r="B12" s="4" t="s">
        <v>14</v>
      </c>
      <c r="C12" s="3" t="s">
        <v>15</v>
      </c>
    </row>
    <row r="13" customFormat="false" ht="30" hidden="false" customHeight="true" outlineLevel="0" collapsed="false">
      <c r="B13" s="4" t="s">
        <v>16</v>
      </c>
      <c r="C13" s="3" t="s">
        <v>17</v>
      </c>
    </row>
    <row r="16" customFormat="false" ht="15" hidden="false" customHeight="false" outlineLevel="0" collapsed="false">
      <c r="B16" s="2" t="s">
        <v>18</v>
      </c>
    </row>
    <row r="17" customFormat="false" ht="15" hidden="false" customHeight="false" outlineLevel="0" collapsed="false">
      <c r="B17" s="5" t="s">
        <v>19</v>
      </c>
    </row>
    <row r="18" customFormat="false" ht="15" hidden="false" customHeight="false" outlineLevel="0" collapsed="false">
      <c r="B18" s="6" t="s">
        <v>20</v>
      </c>
    </row>
    <row r="19" customFormat="false" ht="15" hidden="false" customHeight="false" outlineLevel="0" collapsed="false">
      <c r="B19" s="7" t="s">
        <v>21</v>
      </c>
    </row>
    <row r="20" customFormat="false" ht="15" hidden="false" customHeight="false" outlineLevel="0" collapsed="false">
      <c r="B20" s="8" t="s">
        <v>22</v>
      </c>
    </row>
    <row r="22" customFormat="false" ht="15" hidden="false" customHeight="false" outlineLevel="0" collapsed="false">
      <c r="B22" s="2" t="s">
        <v>23</v>
      </c>
      <c r="C22" s="3" t="s">
        <v>24</v>
      </c>
    </row>
  </sheetData>
  <mergeCells count="1">
    <mergeCell ref="B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</cols>
  <sheetData>
    <row r="1" customFormat="false" ht="15" hidden="false" customHeight="false" outlineLevel="0" collapsed="false">
      <c r="A1" s="9" t="s">
        <v>25</v>
      </c>
      <c r="B1" s="9" t="s">
        <v>26</v>
      </c>
    </row>
    <row r="2" customFormat="false" ht="15" hidden="false" customHeight="false" outlineLevel="0" collapsed="false">
      <c r="A2" s="10" t="s">
        <v>27</v>
      </c>
      <c r="B2" s="10" t="s">
        <v>28</v>
      </c>
    </row>
    <row r="3" customFormat="false" ht="15" hidden="false" customHeight="false" outlineLevel="0" collapsed="false">
      <c r="A3" s="10" t="s">
        <v>29</v>
      </c>
      <c r="B3" s="10" t="s">
        <v>30</v>
      </c>
    </row>
    <row r="4" customFormat="false" ht="15" hidden="false" customHeight="false" outlineLevel="0" collapsed="false">
      <c r="A4" s="10" t="s">
        <v>31</v>
      </c>
      <c r="B4" s="10" t="s">
        <v>32</v>
      </c>
    </row>
    <row r="5" customFormat="false" ht="15" hidden="false" customHeight="false" outlineLevel="0" collapsed="false">
      <c r="A5" s="10" t="s">
        <v>33</v>
      </c>
      <c r="B5" s="10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3" min="2" style="0" width="16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9" t="s">
        <v>35</v>
      </c>
      <c r="B1" s="9" t="s">
        <v>36</v>
      </c>
      <c r="C1" s="9" t="s">
        <v>37</v>
      </c>
      <c r="D1" s="9" t="s">
        <v>38</v>
      </c>
      <c r="E1" s="9" t="s">
        <v>39</v>
      </c>
      <c r="F1" s="9" t="s">
        <v>40</v>
      </c>
    </row>
    <row r="2" customFormat="false" ht="15" hidden="false" customHeight="false" outlineLevel="0" collapsed="false">
      <c r="A2" s="10" t="s">
        <v>41</v>
      </c>
      <c r="B2" s="10" t="s">
        <v>42</v>
      </c>
      <c r="C2" s="10" t="s">
        <v>43</v>
      </c>
      <c r="D2" s="10"/>
      <c r="E2" s="10"/>
      <c r="F2" s="10"/>
    </row>
    <row r="3" customFormat="false" ht="15" hidden="false" customHeight="false" outlineLevel="0" collapsed="false">
      <c r="A3" s="10" t="s">
        <v>44</v>
      </c>
      <c r="B3" s="10" t="s">
        <v>42</v>
      </c>
      <c r="C3" s="10" t="s">
        <v>45</v>
      </c>
      <c r="D3" s="10"/>
      <c r="E3" s="10"/>
      <c r="F3" s="10"/>
    </row>
    <row r="4" customFormat="false" ht="15" hidden="false" customHeight="false" outlineLevel="0" collapsed="false">
      <c r="A4" s="10" t="s">
        <v>46</v>
      </c>
      <c r="B4" s="10" t="s">
        <v>47</v>
      </c>
      <c r="C4" s="10"/>
      <c r="D4" s="10"/>
      <c r="E4" s="10"/>
      <c r="F4" s="10"/>
    </row>
    <row r="5" customFormat="false" ht="15" hidden="false" customHeight="false" outlineLevel="0" collapsed="false">
      <c r="A5" s="10" t="s">
        <v>48</v>
      </c>
      <c r="B5" s="10" t="s">
        <v>47</v>
      </c>
      <c r="C5" s="10"/>
      <c r="D5" s="10"/>
      <c r="E5" s="10"/>
      <c r="F5" s="10"/>
    </row>
    <row r="6" customFormat="false" ht="15" hidden="false" customHeight="false" outlineLevel="0" collapsed="false">
      <c r="A6" s="10" t="s">
        <v>49</v>
      </c>
      <c r="B6" s="10" t="s">
        <v>47</v>
      </c>
      <c r="C6" s="10"/>
      <c r="D6" s="10"/>
      <c r="E6" s="10"/>
      <c r="F6" s="10"/>
    </row>
    <row r="7" customFormat="false" ht="15" hidden="false" customHeight="false" outlineLevel="0" collapsed="false">
      <c r="A7" s="10" t="s">
        <v>50</v>
      </c>
      <c r="B7" s="10" t="s">
        <v>47</v>
      </c>
      <c r="C7" s="10"/>
      <c r="D7" s="10"/>
      <c r="E7" s="10"/>
      <c r="F7" s="10"/>
    </row>
    <row r="8" customFormat="false" ht="15" hidden="false" customHeight="false" outlineLevel="0" collapsed="false">
      <c r="A8" s="10" t="s">
        <v>51</v>
      </c>
      <c r="B8" s="10" t="s">
        <v>47</v>
      </c>
      <c r="C8" s="10"/>
      <c r="D8" s="10"/>
      <c r="E8" s="10"/>
      <c r="F8" s="10"/>
    </row>
    <row r="9" customFormat="false" ht="15" hidden="false" customHeight="false" outlineLevel="0" collapsed="false">
      <c r="A9" s="10" t="s">
        <v>52</v>
      </c>
      <c r="B9" s="10" t="s">
        <v>47</v>
      </c>
      <c r="C9" s="10"/>
      <c r="D9" s="10"/>
      <c r="E9" s="10"/>
      <c r="F9" s="10"/>
    </row>
    <row r="10" customFormat="false" ht="15" hidden="false" customHeight="false" outlineLevel="0" collapsed="false">
      <c r="A10" s="10" t="s">
        <v>53</v>
      </c>
      <c r="B10" s="10" t="s">
        <v>47</v>
      </c>
      <c r="C10" s="10"/>
      <c r="D10" s="10"/>
      <c r="E10" s="10"/>
      <c r="F10" s="10"/>
    </row>
    <row r="11" customFormat="false" ht="15" hidden="false" customHeight="false" outlineLevel="0" collapsed="false">
      <c r="A11" s="10" t="s">
        <v>54</v>
      </c>
      <c r="B11" s="10" t="s">
        <v>47</v>
      </c>
      <c r="C11" s="10"/>
      <c r="D11" s="10"/>
      <c r="E11" s="10"/>
      <c r="F11" s="10"/>
    </row>
    <row r="12" customFormat="false" ht="15" hidden="false" customHeight="false" outlineLevel="0" collapsed="false">
      <c r="A12" s="10" t="s">
        <v>55</v>
      </c>
      <c r="B12" s="10" t="s">
        <v>56</v>
      </c>
      <c r="C12" s="10"/>
      <c r="D12" s="10"/>
      <c r="E12" s="10"/>
      <c r="F12" s="10"/>
    </row>
    <row r="13" customFormat="false" ht="15" hidden="false" customHeight="false" outlineLevel="0" collapsed="false">
      <c r="A13" s="10" t="s">
        <v>57</v>
      </c>
      <c r="B13" s="10" t="s">
        <v>56</v>
      </c>
      <c r="C13" s="10"/>
      <c r="D13" s="10"/>
      <c r="E13" s="10"/>
      <c r="F13" s="10"/>
    </row>
    <row r="14" customFormat="false" ht="15" hidden="false" customHeight="false" outlineLevel="0" collapsed="false">
      <c r="A14" s="10" t="s">
        <v>58</v>
      </c>
      <c r="B14" s="10" t="s">
        <v>56</v>
      </c>
      <c r="C14" s="10"/>
      <c r="D14" s="10"/>
      <c r="E14" s="10"/>
      <c r="F14" s="10"/>
    </row>
    <row r="15" customFormat="false" ht="15" hidden="false" customHeight="false" outlineLevel="0" collapsed="false">
      <c r="A15" s="10" t="s">
        <v>59</v>
      </c>
      <c r="B15" s="10" t="s">
        <v>56</v>
      </c>
      <c r="C15" s="10"/>
      <c r="D15" s="10"/>
      <c r="E15" s="10"/>
      <c r="F15" s="10"/>
    </row>
    <row r="16" customFormat="false" ht="15" hidden="false" customHeight="false" outlineLevel="0" collapsed="false">
      <c r="A16" s="10" t="s">
        <v>60</v>
      </c>
      <c r="B16" s="10" t="s">
        <v>56</v>
      </c>
      <c r="C16" s="10"/>
      <c r="D16" s="10"/>
      <c r="E16" s="10"/>
      <c r="F16" s="10"/>
    </row>
    <row r="17" customFormat="false" ht="15" hidden="false" customHeight="false" outlineLevel="0" collapsed="false">
      <c r="A17" s="10" t="s">
        <v>61</v>
      </c>
      <c r="B17" s="10" t="s">
        <v>56</v>
      </c>
      <c r="C17" s="10"/>
      <c r="D17" s="10"/>
      <c r="E17" s="10"/>
      <c r="F17" s="10"/>
    </row>
    <row r="18" customFormat="false" ht="15" hidden="false" customHeight="false" outlineLevel="0" collapsed="false">
      <c r="A18" s="10" t="s">
        <v>62</v>
      </c>
      <c r="B18" s="10" t="s">
        <v>56</v>
      </c>
      <c r="C18" s="10"/>
      <c r="D18" s="10"/>
      <c r="E18" s="10"/>
      <c r="F18" s="10"/>
    </row>
    <row r="19" customFormat="false" ht="15" hidden="false" customHeight="false" outlineLevel="0" collapsed="false">
      <c r="A19" s="10" t="s">
        <v>63</v>
      </c>
      <c r="B19" s="10" t="s">
        <v>56</v>
      </c>
      <c r="C19" s="10"/>
      <c r="D19" s="10"/>
      <c r="E19" s="10"/>
      <c r="F19" s="10"/>
    </row>
    <row r="20" customFormat="false" ht="15" hidden="false" customHeight="false" outlineLevel="0" collapsed="false">
      <c r="A20" s="10" t="s">
        <v>64</v>
      </c>
      <c r="B20" s="10" t="s">
        <v>56</v>
      </c>
      <c r="C20" s="10"/>
      <c r="D20" s="10"/>
      <c r="E20" s="10"/>
      <c r="F20" s="10"/>
    </row>
    <row r="21" customFormat="false" ht="15" hidden="false" customHeight="false" outlineLevel="0" collapsed="false">
      <c r="A21" s="10" t="s">
        <v>65</v>
      </c>
      <c r="B21" s="10" t="s">
        <v>56</v>
      </c>
      <c r="C21" s="10"/>
      <c r="D21" s="10"/>
      <c r="E21" s="10"/>
      <c r="F21" s="10"/>
    </row>
    <row r="22" customFormat="false" ht="15" hidden="false" customHeight="false" outlineLevel="0" collapsed="false">
      <c r="A22" s="10" t="s">
        <v>66</v>
      </c>
      <c r="B22" s="10" t="s">
        <v>56</v>
      </c>
      <c r="C22" s="10"/>
      <c r="D22" s="10"/>
      <c r="E22" s="10"/>
      <c r="F22" s="10"/>
    </row>
    <row r="23" customFormat="false" ht="15" hidden="false" customHeight="false" outlineLevel="0" collapsed="false">
      <c r="A23" s="10" t="s">
        <v>67</v>
      </c>
      <c r="B23" s="10" t="s">
        <v>68</v>
      </c>
      <c r="C23" s="10"/>
      <c r="D23" s="10"/>
      <c r="E23" s="10"/>
      <c r="F23" s="10"/>
    </row>
    <row r="24" customFormat="false" ht="15" hidden="false" customHeight="false" outlineLevel="0" collapsed="false">
      <c r="A24" s="10" t="s">
        <v>69</v>
      </c>
      <c r="B24" s="10" t="s">
        <v>68</v>
      </c>
      <c r="C24" s="10"/>
      <c r="D24" s="10"/>
      <c r="E24" s="10"/>
      <c r="F24" s="10"/>
    </row>
    <row r="25" customFormat="false" ht="15" hidden="false" customHeight="false" outlineLevel="0" collapsed="false">
      <c r="A25" s="10" t="s">
        <v>70</v>
      </c>
      <c r="B25" s="10" t="s">
        <v>68</v>
      </c>
      <c r="C25" s="10"/>
      <c r="D25" s="10"/>
      <c r="E25" s="10"/>
      <c r="F25" s="10"/>
    </row>
    <row r="26" customFormat="false" ht="15" hidden="false" customHeight="false" outlineLevel="0" collapsed="false">
      <c r="A26" s="10" t="s">
        <v>71</v>
      </c>
      <c r="B26" s="10" t="s">
        <v>68</v>
      </c>
      <c r="C26" s="10"/>
      <c r="D26" s="10"/>
      <c r="E26" s="10"/>
      <c r="F26" s="10"/>
    </row>
    <row r="27" customFormat="false" ht="15" hidden="false" customHeight="false" outlineLevel="0" collapsed="false">
      <c r="A27" s="10" t="s">
        <v>72</v>
      </c>
      <c r="B27" s="10" t="s">
        <v>68</v>
      </c>
      <c r="C27" s="10"/>
      <c r="D27" s="10"/>
      <c r="E27" s="10"/>
      <c r="F27" s="10"/>
    </row>
    <row r="28" customFormat="false" ht="15" hidden="false" customHeight="false" outlineLevel="0" collapsed="false">
      <c r="A28" s="10" t="s">
        <v>73</v>
      </c>
      <c r="B28" s="10" t="s">
        <v>74</v>
      </c>
      <c r="C28" s="10"/>
      <c r="D28" s="10"/>
      <c r="E28" s="10"/>
      <c r="F28" s="10"/>
    </row>
    <row r="29" customFormat="false" ht="15" hidden="false" customHeight="false" outlineLevel="0" collapsed="false">
      <c r="A29" s="10" t="s">
        <v>75</v>
      </c>
      <c r="B29" s="10" t="s">
        <v>74</v>
      </c>
      <c r="C29" s="10"/>
      <c r="D29" s="10"/>
      <c r="E29" s="10"/>
      <c r="F29" s="10"/>
    </row>
    <row r="30" customFormat="false" ht="15" hidden="false" customHeight="false" outlineLevel="0" collapsed="false">
      <c r="A30" s="10" t="s">
        <v>76</v>
      </c>
      <c r="B30" s="10" t="s">
        <v>74</v>
      </c>
      <c r="C30" s="10"/>
      <c r="D30" s="10"/>
      <c r="E30" s="10"/>
      <c r="F30" s="10"/>
    </row>
    <row r="31" customFormat="false" ht="15" hidden="false" customHeight="false" outlineLevel="0" collapsed="false">
      <c r="A31" s="10" t="s">
        <v>77</v>
      </c>
      <c r="B31" s="10" t="s">
        <v>74</v>
      </c>
      <c r="C31" s="10"/>
      <c r="D31" s="10"/>
      <c r="E31" s="10"/>
      <c r="F31" s="10"/>
    </row>
    <row r="32" customFormat="false" ht="15" hidden="false" customHeight="false" outlineLevel="0" collapsed="false">
      <c r="A32" s="10" t="s">
        <v>78</v>
      </c>
      <c r="B32" s="10" t="s">
        <v>74</v>
      </c>
      <c r="C32" s="10"/>
      <c r="D32" s="10"/>
      <c r="E32" s="10"/>
      <c r="F32" s="10"/>
    </row>
    <row r="33" customFormat="false" ht="15" hidden="false" customHeight="false" outlineLevel="0" collapsed="false">
      <c r="A33" s="10" t="s">
        <v>79</v>
      </c>
      <c r="B33" s="10" t="s">
        <v>74</v>
      </c>
      <c r="C33" s="10"/>
      <c r="D33" s="10"/>
      <c r="E33" s="10"/>
      <c r="F33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14"/>
    <col collapsed="false" customWidth="true" hidden="false" outlineLevel="0" max="4" min="4" style="0" width="18"/>
    <col collapsed="false" customWidth="true" hidden="false" outlineLevel="0" max="5" min="5" style="0" width="50"/>
    <col collapsed="false" customWidth="true" hidden="false" outlineLevel="0" max="6" min="6" style="0" width="25"/>
  </cols>
  <sheetData>
    <row r="1" customFormat="false" ht="15" hidden="false" customHeight="false" outlineLevel="0" collapsed="false">
      <c r="A1" s="11" t="s">
        <v>80</v>
      </c>
      <c r="B1" s="11"/>
      <c r="C1" s="11"/>
      <c r="D1" s="11"/>
      <c r="E1" s="11"/>
      <c r="F1" s="11"/>
    </row>
    <row r="2" customFormat="false" ht="26.85" hidden="false" customHeight="false" outlineLevel="0" collapsed="false">
      <c r="A2" s="9" t="s">
        <v>81</v>
      </c>
      <c r="B2" s="9" t="s">
        <v>82</v>
      </c>
      <c r="C2" s="9" t="s">
        <v>83</v>
      </c>
      <c r="D2" s="9" t="s">
        <v>84</v>
      </c>
      <c r="E2" s="9" t="s">
        <v>85</v>
      </c>
      <c r="F2" s="9" t="s">
        <v>40</v>
      </c>
    </row>
    <row r="3" customFormat="false" ht="15" hidden="false" customHeight="false" outlineLevel="0" collapsed="false">
      <c r="A3" s="10" t="s">
        <v>86</v>
      </c>
      <c r="B3" s="10" t="s">
        <v>87</v>
      </c>
      <c r="C3" s="10" t="s">
        <v>33</v>
      </c>
      <c r="D3" s="12" t="s">
        <v>88</v>
      </c>
      <c r="E3" s="10" t="s">
        <v>89</v>
      </c>
      <c r="F3" s="10"/>
    </row>
    <row r="4" customFormat="false" ht="15" hidden="false" customHeight="false" outlineLevel="0" collapsed="false">
      <c r="A4" s="10" t="s">
        <v>90</v>
      </c>
      <c r="B4" s="10" t="s">
        <v>91</v>
      </c>
      <c r="C4" s="10" t="s">
        <v>33</v>
      </c>
      <c r="D4" s="12" t="s">
        <v>88</v>
      </c>
      <c r="E4" s="10" t="s">
        <v>92</v>
      </c>
      <c r="F4" s="10"/>
    </row>
    <row r="5" customFormat="false" ht="15" hidden="false" customHeight="false" outlineLevel="0" collapsed="false">
      <c r="A5" s="10" t="s">
        <v>93</v>
      </c>
      <c r="B5" s="10" t="s">
        <v>94</v>
      </c>
      <c r="C5" s="10" t="s">
        <v>33</v>
      </c>
      <c r="D5" s="12" t="s">
        <v>88</v>
      </c>
      <c r="E5" s="10" t="s">
        <v>95</v>
      </c>
      <c r="F5" s="10"/>
    </row>
    <row r="6" customFormat="false" ht="15" hidden="false" customHeight="false" outlineLevel="0" collapsed="false">
      <c r="A6" s="10" t="s">
        <v>96</v>
      </c>
      <c r="B6" s="10" t="s">
        <v>97</v>
      </c>
      <c r="C6" s="10" t="s">
        <v>33</v>
      </c>
      <c r="D6" s="12" t="s">
        <v>88</v>
      </c>
      <c r="E6" s="10" t="s">
        <v>98</v>
      </c>
      <c r="F6" s="10"/>
    </row>
    <row r="7" customFormat="false" ht="15" hidden="false" customHeight="false" outlineLevel="0" collapsed="false">
      <c r="A7" s="10" t="s">
        <v>99</v>
      </c>
      <c r="B7" s="10" t="s">
        <v>100</v>
      </c>
      <c r="C7" s="10" t="s">
        <v>33</v>
      </c>
      <c r="D7" s="12" t="s">
        <v>88</v>
      </c>
      <c r="E7" s="10" t="s">
        <v>101</v>
      </c>
      <c r="F7" s="10"/>
    </row>
    <row r="8" customFormat="false" ht="15" hidden="false" customHeight="false" outlineLevel="0" collapsed="false">
      <c r="A8" s="10" t="s">
        <v>102</v>
      </c>
      <c r="B8" s="10" t="s">
        <v>103</v>
      </c>
      <c r="C8" s="10" t="s">
        <v>33</v>
      </c>
      <c r="D8" s="12" t="s">
        <v>88</v>
      </c>
      <c r="E8" s="10" t="s">
        <v>104</v>
      </c>
      <c r="F8" s="10"/>
    </row>
    <row r="9" customFormat="false" ht="15" hidden="false" customHeight="false" outlineLevel="0" collapsed="false">
      <c r="A9" s="10" t="s">
        <v>105</v>
      </c>
      <c r="B9" s="10" t="s">
        <v>106</v>
      </c>
      <c r="C9" s="10" t="s">
        <v>33</v>
      </c>
      <c r="D9" s="12" t="s">
        <v>88</v>
      </c>
      <c r="E9" s="10" t="s">
        <v>107</v>
      </c>
      <c r="F9" s="10"/>
    </row>
    <row r="10" customFormat="false" ht="15" hidden="false" customHeight="false" outlineLevel="0" collapsed="false">
      <c r="A10" s="10" t="s">
        <v>108</v>
      </c>
      <c r="B10" s="10" t="s">
        <v>109</v>
      </c>
      <c r="C10" s="10" t="s">
        <v>33</v>
      </c>
      <c r="D10" s="12" t="s">
        <v>88</v>
      </c>
      <c r="E10" s="10" t="s">
        <v>110</v>
      </c>
      <c r="F10" s="10"/>
    </row>
    <row r="11" customFormat="false" ht="15" hidden="false" customHeight="false" outlineLevel="0" collapsed="false">
      <c r="A11" s="10" t="s">
        <v>111</v>
      </c>
      <c r="B11" s="10" t="s">
        <v>112</v>
      </c>
      <c r="C11" s="10" t="s">
        <v>33</v>
      </c>
      <c r="D11" s="12" t="s">
        <v>88</v>
      </c>
      <c r="E11" s="10" t="s">
        <v>113</v>
      </c>
      <c r="F11" s="10"/>
    </row>
    <row r="12" customFormat="false" ht="15" hidden="false" customHeight="false" outlineLevel="0" collapsed="false">
      <c r="A12" s="10" t="s">
        <v>114</v>
      </c>
      <c r="B12" s="10" t="s">
        <v>115</v>
      </c>
      <c r="C12" s="10" t="s">
        <v>33</v>
      </c>
      <c r="D12" s="12" t="s">
        <v>88</v>
      </c>
      <c r="E12" s="10" t="s">
        <v>116</v>
      </c>
      <c r="F12" s="10"/>
    </row>
    <row r="13" customFormat="false" ht="15" hidden="false" customHeight="false" outlineLevel="0" collapsed="false">
      <c r="A13" s="10" t="s">
        <v>117</v>
      </c>
      <c r="B13" s="10" t="s">
        <v>118</v>
      </c>
      <c r="C13" s="10" t="s">
        <v>33</v>
      </c>
      <c r="D13" s="10" t="s">
        <v>119</v>
      </c>
      <c r="E13" s="10"/>
      <c r="F13" s="10"/>
    </row>
    <row r="14" customFormat="false" ht="15" hidden="false" customHeight="false" outlineLevel="0" collapsed="false">
      <c r="A14" s="10" t="s">
        <v>120</v>
      </c>
      <c r="B14" s="10" t="s">
        <v>121</v>
      </c>
      <c r="C14" s="10" t="s">
        <v>33</v>
      </c>
      <c r="D14" s="10" t="s">
        <v>119</v>
      </c>
      <c r="E14" s="10"/>
      <c r="F14" s="10"/>
    </row>
    <row r="15" customFormat="false" ht="15" hidden="false" customHeight="false" outlineLevel="0" collapsed="false">
      <c r="A15" s="10" t="s">
        <v>122</v>
      </c>
      <c r="B15" s="10" t="s">
        <v>123</v>
      </c>
      <c r="C15" s="10" t="s">
        <v>33</v>
      </c>
      <c r="D15" s="10" t="s">
        <v>119</v>
      </c>
      <c r="E15" s="10"/>
      <c r="F15" s="10"/>
    </row>
    <row r="16" customFormat="false" ht="15" hidden="false" customHeight="false" outlineLevel="0" collapsed="false">
      <c r="A16" s="10" t="s">
        <v>124</v>
      </c>
      <c r="B16" s="10" t="s">
        <v>125</v>
      </c>
      <c r="C16" s="10" t="s">
        <v>33</v>
      </c>
      <c r="D16" s="10" t="s">
        <v>119</v>
      </c>
      <c r="E16" s="10"/>
      <c r="F16" s="10"/>
    </row>
    <row r="17" customFormat="false" ht="15" hidden="false" customHeight="false" outlineLevel="0" collapsed="false">
      <c r="A17" s="10" t="s">
        <v>126</v>
      </c>
      <c r="B17" s="10" t="s">
        <v>127</v>
      </c>
      <c r="C17" s="10" t="s">
        <v>33</v>
      </c>
      <c r="D17" s="10" t="s">
        <v>119</v>
      </c>
      <c r="E17" s="10"/>
      <c r="F17" s="10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8"/>
    <col collapsed="false" customWidth="true" hidden="false" outlineLevel="0" max="3" min="3" style="0" width="10"/>
    <col collapsed="false" customWidth="true" hidden="false" outlineLevel="0" max="5" min="4" style="0" width="22"/>
    <col collapsed="false" customWidth="true" hidden="false" outlineLevel="0" max="6" min="6" style="0" width="60"/>
  </cols>
  <sheetData>
    <row r="1" customFormat="false" ht="26.85" hidden="false" customHeight="false" outlineLevel="0" collapsed="false">
      <c r="A1" s="9" t="s">
        <v>36</v>
      </c>
      <c r="B1" s="9" t="s">
        <v>128</v>
      </c>
      <c r="C1" s="9" t="s">
        <v>129</v>
      </c>
      <c r="D1" s="9" t="s">
        <v>130</v>
      </c>
      <c r="E1" s="9" t="s">
        <v>131</v>
      </c>
      <c r="F1" s="9" t="s">
        <v>132</v>
      </c>
    </row>
    <row r="2" customFormat="false" ht="15" hidden="false" customHeight="false" outlineLevel="0" collapsed="false">
      <c r="A2" s="13" t="s">
        <v>133</v>
      </c>
      <c r="B2" s="13" t="s">
        <v>134</v>
      </c>
      <c r="C2" s="13" t="s">
        <v>135</v>
      </c>
      <c r="D2" s="14" t="n">
        <v>0</v>
      </c>
      <c r="E2" s="14" t="n">
        <v>7</v>
      </c>
      <c r="F2" s="13" t="s">
        <v>136</v>
      </c>
    </row>
    <row r="3" customFormat="false" ht="15" hidden="false" customHeight="false" outlineLevel="0" collapsed="false">
      <c r="A3" s="13" t="s">
        <v>133</v>
      </c>
      <c r="B3" s="13" t="s">
        <v>137</v>
      </c>
      <c r="C3" s="13" t="s">
        <v>138</v>
      </c>
      <c r="D3" s="14" t="n">
        <v>10</v>
      </c>
      <c r="E3" s="14" t="n">
        <v>20</v>
      </c>
      <c r="F3" s="13" t="s">
        <v>139</v>
      </c>
    </row>
    <row r="4" customFormat="false" ht="15" hidden="false" customHeight="false" outlineLevel="0" collapsed="false">
      <c r="A4" s="13" t="s">
        <v>133</v>
      </c>
      <c r="B4" s="13" t="s">
        <v>140</v>
      </c>
      <c r="C4" s="13" t="s">
        <v>141</v>
      </c>
      <c r="D4" s="14" t="n">
        <v>1</v>
      </c>
      <c r="E4" s="14" t="n">
        <v>3</v>
      </c>
      <c r="F4" s="13" t="s">
        <v>142</v>
      </c>
    </row>
    <row r="5" customFormat="false" ht="15" hidden="false" customHeight="false" outlineLevel="0" collapsed="false">
      <c r="A5" s="13" t="s">
        <v>143</v>
      </c>
      <c r="B5" s="13" t="s">
        <v>144</v>
      </c>
      <c r="C5" s="13" t="s">
        <v>135</v>
      </c>
      <c r="D5" s="14" t="n">
        <v>0</v>
      </c>
      <c r="E5" s="14" t="n">
        <v>14</v>
      </c>
      <c r="F5" s="13" t="s">
        <v>145</v>
      </c>
    </row>
    <row r="6" customFormat="false" ht="15" hidden="false" customHeight="false" outlineLevel="0" collapsed="false">
      <c r="A6" s="13" t="s">
        <v>143</v>
      </c>
      <c r="B6" s="13" t="s">
        <v>146</v>
      </c>
      <c r="C6" s="13" t="s">
        <v>147</v>
      </c>
      <c r="D6" s="14" t="n">
        <v>1</v>
      </c>
      <c r="E6" s="14" t="n">
        <v>3</v>
      </c>
      <c r="F6" s="13" t="s">
        <v>148</v>
      </c>
    </row>
    <row r="7" customFormat="false" ht="15" hidden="false" customHeight="false" outlineLevel="0" collapsed="false">
      <c r="A7" s="13" t="s">
        <v>149</v>
      </c>
      <c r="B7" s="13" t="s">
        <v>150</v>
      </c>
      <c r="C7" s="13" t="s">
        <v>135</v>
      </c>
      <c r="D7" s="14" t="n">
        <v>0</v>
      </c>
      <c r="E7" s="14" t="n">
        <v>10</v>
      </c>
      <c r="F7" s="13" t="s">
        <v>151</v>
      </c>
    </row>
    <row r="8" customFormat="false" ht="15" hidden="false" customHeight="false" outlineLevel="0" collapsed="false">
      <c r="A8" s="13" t="s">
        <v>149</v>
      </c>
      <c r="B8" s="13" t="s">
        <v>152</v>
      </c>
      <c r="C8" s="13" t="s">
        <v>153</v>
      </c>
      <c r="D8" s="14" t="n">
        <v>1</v>
      </c>
      <c r="E8" s="14" t="n">
        <v>3</v>
      </c>
      <c r="F8" s="13" t="s">
        <v>154</v>
      </c>
    </row>
    <row r="9" customFormat="false" ht="15" hidden="false" customHeight="false" outlineLevel="0" collapsed="false">
      <c r="A9" s="13" t="s">
        <v>155</v>
      </c>
      <c r="B9" s="13" t="s">
        <v>156</v>
      </c>
      <c r="C9" s="13" t="s">
        <v>138</v>
      </c>
      <c r="D9" s="14" t="n">
        <v>80</v>
      </c>
      <c r="E9" s="14" t="n">
        <v>50</v>
      </c>
      <c r="F9" s="13" t="s">
        <v>157</v>
      </c>
    </row>
    <row r="10" customFormat="false" ht="15" hidden="false" customHeight="false" outlineLevel="0" collapsed="false">
      <c r="A10" s="13" t="s">
        <v>155</v>
      </c>
      <c r="B10" s="13" t="s">
        <v>158</v>
      </c>
      <c r="C10" s="13" t="s">
        <v>135</v>
      </c>
      <c r="D10" s="14" t="n">
        <v>7</v>
      </c>
      <c r="E10" s="14" t="n">
        <v>3</v>
      </c>
      <c r="F10" s="13" t="s">
        <v>159</v>
      </c>
    </row>
    <row r="11" customFormat="false" ht="15" hidden="false" customHeight="false" outlineLevel="0" collapsed="false">
      <c r="A11" s="13" t="s">
        <v>155</v>
      </c>
      <c r="B11" s="13" t="s">
        <v>160</v>
      </c>
      <c r="C11" s="13" t="s">
        <v>161</v>
      </c>
      <c r="D11" s="14" t="n">
        <v>2</v>
      </c>
      <c r="E11" s="14" t="n">
        <v>4</v>
      </c>
      <c r="F11" s="13" t="s">
        <v>162</v>
      </c>
    </row>
    <row r="12" customFormat="false" ht="15" hidden="false" customHeight="false" outlineLevel="0" collapsed="false">
      <c r="A12" s="13" t="s">
        <v>155</v>
      </c>
      <c r="B12" s="13" t="s">
        <v>163</v>
      </c>
      <c r="C12" s="13" t="s">
        <v>164</v>
      </c>
      <c r="D12" s="14" t="n">
        <v>1</v>
      </c>
      <c r="E12" s="14" t="n">
        <v>2</v>
      </c>
      <c r="F12" s="13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10" min="8" style="0" width="10"/>
    <col collapsed="false" customWidth="true" hidden="false" outlineLevel="0" max="11" min="11" style="0" width="12"/>
    <col collapsed="false" customWidth="true" hidden="false" outlineLevel="0" max="13" min="12" style="0" width="10"/>
    <col collapsed="false" customWidth="true" hidden="false" outlineLevel="0" max="14" min="14" style="0" width="22"/>
    <col collapsed="false" customWidth="true" hidden="false" outlineLevel="0" max="15" min="15" style="0" width="12"/>
    <col collapsed="false" customWidth="true" hidden="false" outlineLevel="0" max="16" min="16" style="0" width="22"/>
    <col collapsed="false" customWidth="true" hidden="false" outlineLevel="0" max="17" min="17" style="0" width="12"/>
    <col collapsed="false" customWidth="true" hidden="false" outlineLevel="0" max="19" min="18" style="0" width="30"/>
  </cols>
  <sheetData>
    <row r="1" customFormat="false" ht="31.5" hidden="false" customHeight="true" outlineLevel="0" collapsed="false">
      <c r="A1" s="9" t="s">
        <v>166</v>
      </c>
      <c r="B1" s="9" t="s">
        <v>167</v>
      </c>
      <c r="C1" s="9" t="s">
        <v>168</v>
      </c>
      <c r="D1" s="9" t="s">
        <v>129</v>
      </c>
      <c r="E1" s="9" t="s">
        <v>169</v>
      </c>
      <c r="F1" s="9" t="s">
        <v>170</v>
      </c>
      <c r="G1" s="9" t="s">
        <v>171</v>
      </c>
      <c r="H1" s="9" t="s">
        <v>172</v>
      </c>
      <c r="I1" s="9" t="s">
        <v>173</v>
      </c>
      <c r="J1" s="9" t="s">
        <v>174</v>
      </c>
      <c r="K1" s="9" t="s">
        <v>175</v>
      </c>
      <c r="L1" s="9" t="s">
        <v>176</v>
      </c>
      <c r="M1" s="9" t="s">
        <v>177</v>
      </c>
      <c r="N1" s="9" t="s">
        <v>178</v>
      </c>
      <c r="O1" s="9" t="s">
        <v>179</v>
      </c>
      <c r="P1" s="9" t="s">
        <v>180</v>
      </c>
      <c r="Q1" s="9" t="s">
        <v>181</v>
      </c>
      <c r="R1" s="9" t="s">
        <v>182</v>
      </c>
      <c r="S1" s="9" t="s">
        <v>183</v>
      </c>
    </row>
    <row r="2" customFormat="false" ht="15" hidden="false" customHeight="false" outlineLevel="0" collapsed="false">
      <c r="A2" s="13" t="n">
        <v>1</v>
      </c>
      <c r="B2" s="15"/>
      <c r="C2" s="15"/>
      <c r="D2" s="15"/>
      <c r="E2" s="15"/>
      <c r="F2" s="15"/>
      <c r="G2" s="15"/>
      <c r="H2" s="14"/>
      <c r="I2" s="14"/>
      <c r="J2" s="14"/>
      <c r="K2" s="16" t="n">
        <f aca="false">H2+I2-J2</f>
        <v>0</v>
      </c>
      <c r="L2" s="14"/>
      <c r="M2" s="14"/>
      <c r="N2" s="17" t="str">
        <f aca="false">IF(K2="","",IF(K2=0,"ĐỎ - Hết hàng",IF(K2&lt;L2*0.5,"ĐỎ - Cực thấp",IF(K2&lt;L2,"VÀNG - Dưới MIN",IF(K2&gt;M2,"VÀNG - Vượt MAX","XANH - Bình thường")))))</f>
        <v>ĐỎ - Hết hàng</v>
      </c>
      <c r="O2" s="16" t="str">
        <f aca="false">IFERROR(IF(J2=0,"",ROUND(K2/(J2/30),0)),"")</f>
        <v/>
      </c>
      <c r="P2" s="15"/>
      <c r="Q2" s="14"/>
      <c r="R2" s="15"/>
      <c r="S2" s="15"/>
    </row>
    <row r="3" customFormat="false" ht="15" hidden="false" customHeight="false" outlineLevel="0" collapsed="false">
      <c r="A3" s="13" t="n">
        <v>2</v>
      </c>
      <c r="B3" s="15"/>
      <c r="C3" s="15"/>
      <c r="D3" s="15"/>
      <c r="E3" s="15"/>
      <c r="F3" s="15"/>
      <c r="G3" s="15"/>
      <c r="H3" s="14"/>
      <c r="I3" s="14"/>
      <c r="J3" s="14"/>
      <c r="K3" s="16" t="n">
        <f aca="false">H3+I3-J3</f>
        <v>0</v>
      </c>
      <c r="L3" s="14"/>
      <c r="M3" s="14"/>
      <c r="N3" s="17" t="str">
        <f aca="false">IF(K3="","",IF(K3=0,"ĐỎ - Hết hàng",IF(K3&lt;L3*0.5,"ĐỎ - Cực thấp",IF(K3&lt;L3,"VÀNG - Dưới MIN",IF(K3&gt;M3,"VÀNG - Vượt MAX","XANH - Bình thường")))))</f>
        <v>ĐỎ - Hết hàng</v>
      </c>
      <c r="O3" s="16" t="str">
        <f aca="false">IFERROR(IF(J3=0,"",ROUND(K3/(J3/30),0)),"")</f>
        <v/>
      </c>
      <c r="P3" s="15"/>
      <c r="Q3" s="14"/>
      <c r="R3" s="15"/>
      <c r="S3" s="15"/>
    </row>
    <row r="4" customFormat="false" ht="15" hidden="false" customHeight="false" outlineLevel="0" collapsed="false">
      <c r="A4" s="13" t="n">
        <v>3</v>
      </c>
      <c r="B4" s="15"/>
      <c r="C4" s="15"/>
      <c r="D4" s="15"/>
      <c r="E4" s="15"/>
      <c r="F4" s="15"/>
      <c r="G4" s="15"/>
      <c r="H4" s="14"/>
      <c r="I4" s="14"/>
      <c r="J4" s="14"/>
      <c r="K4" s="16" t="n">
        <f aca="false">H4+I4-J4</f>
        <v>0</v>
      </c>
      <c r="L4" s="14"/>
      <c r="M4" s="14"/>
      <c r="N4" s="17" t="str">
        <f aca="false">IF(K4="","",IF(K4=0,"ĐỎ - Hết hàng",IF(K4&lt;L4*0.5,"ĐỎ - Cực thấp",IF(K4&lt;L4,"VÀNG - Dưới MIN",IF(K4&gt;M4,"VÀNG - Vượt MAX","XANH - Bình thường")))))</f>
        <v>ĐỎ - Hết hàng</v>
      </c>
      <c r="O4" s="16" t="str">
        <f aca="false">IFERROR(IF(J4=0,"",ROUND(K4/(J4/30),0)),"")</f>
        <v/>
      </c>
      <c r="P4" s="15"/>
      <c r="Q4" s="14"/>
      <c r="R4" s="15"/>
      <c r="S4" s="15"/>
    </row>
    <row r="5" customFormat="false" ht="15" hidden="false" customHeight="false" outlineLevel="0" collapsed="false">
      <c r="A5" s="13" t="n">
        <v>4</v>
      </c>
      <c r="B5" s="15"/>
      <c r="C5" s="15"/>
      <c r="D5" s="15"/>
      <c r="E5" s="15"/>
      <c r="F5" s="15"/>
      <c r="G5" s="15"/>
      <c r="H5" s="14"/>
      <c r="I5" s="14"/>
      <c r="J5" s="14"/>
      <c r="K5" s="16" t="n">
        <f aca="false">H5+I5-J5</f>
        <v>0</v>
      </c>
      <c r="L5" s="14"/>
      <c r="M5" s="14"/>
      <c r="N5" s="17" t="str">
        <f aca="false">IF(K5="","",IF(K5=0,"ĐỎ - Hết hàng",IF(K5&lt;L5*0.5,"ĐỎ - Cực thấp",IF(K5&lt;L5,"VÀNG - Dưới MIN",IF(K5&gt;M5,"VÀNG - Vượt MAX","XANH - Bình thường")))))</f>
        <v>ĐỎ - Hết hàng</v>
      </c>
      <c r="O5" s="16" t="str">
        <f aca="false">IFERROR(IF(J5=0,"",ROUND(K5/(J5/30),0)),"")</f>
        <v/>
      </c>
      <c r="P5" s="15"/>
      <c r="Q5" s="14"/>
      <c r="R5" s="15"/>
      <c r="S5" s="15"/>
    </row>
    <row r="6" customFormat="false" ht="15" hidden="false" customHeight="false" outlineLevel="0" collapsed="false">
      <c r="A6" s="13" t="n">
        <v>5</v>
      </c>
      <c r="B6" s="15"/>
      <c r="C6" s="15"/>
      <c r="D6" s="15"/>
      <c r="E6" s="15"/>
      <c r="F6" s="15"/>
      <c r="G6" s="15"/>
      <c r="H6" s="14"/>
      <c r="I6" s="14"/>
      <c r="J6" s="14"/>
      <c r="K6" s="16" t="n">
        <f aca="false">H6+I6-J6</f>
        <v>0</v>
      </c>
      <c r="L6" s="14"/>
      <c r="M6" s="14"/>
      <c r="N6" s="17" t="str">
        <f aca="false">IF(K6="","",IF(K6=0,"ĐỎ - Hết hàng",IF(K6&lt;L6*0.5,"ĐỎ - Cực thấp",IF(K6&lt;L6,"VÀNG - Dưới MIN",IF(K6&gt;M6,"VÀNG - Vượt MAX","XANH - Bình thường")))))</f>
        <v>ĐỎ - Hết hàng</v>
      </c>
      <c r="O6" s="16" t="str">
        <f aca="false">IFERROR(IF(J6=0,"",ROUND(K6/(J6/30),0)),"")</f>
        <v/>
      </c>
      <c r="P6" s="15"/>
      <c r="Q6" s="14"/>
      <c r="R6" s="15"/>
      <c r="S6" s="15"/>
    </row>
    <row r="7" customFormat="false" ht="15" hidden="false" customHeight="false" outlineLevel="0" collapsed="false">
      <c r="A7" s="13" t="n">
        <v>6</v>
      </c>
      <c r="B7" s="15"/>
      <c r="C7" s="15"/>
      <c r="D7" s="15"/>
      <c r="E7" s="15"/>
      <c r="F7" s="15"/>
      <c r="G7" s="15"/>
      <c r="H7" s="14"/>
      <c r="I7" s="14"/>
      <c r="J7" s="14"/>
      <c r="K7" s="16" t="n">
        <f aca="false">H7+I7-J7</f>
        <v>0</v>
      </c>
      <c r="L7" s="14"/>
      <c r="M7" s="14"/>
      <c r="N7" s="17" t="str">
        <f aca="false">IF(K7="","",IF(K7=0,"ĐỎ - Hết hàng",IF(K7&lt;L7*0.5,"ĐỎ - Cực thấp",IF(K7&lt;L7,"VÀNG - Dưới MIN",IF(K7&gt;M7,"VÀNG - Vượt MAX","XANH - Bình thường")))))</f>
        <v>ĐỎ - Hết hàng</v>
      </c>
      <c r="O7" s="16" t="str">
        <f aca="false">IFERROR(IF(J7=0,"",ROUND(K7/(J7/30),0)),"")</f>
        <v/>
      </c>
      <c r="P7" s="15"/>
      <c r="Q7" s="14"/>
      <c r="R7" s="15"/>
      <c r="S7" s="15"/>
    </row>
    <row r="8" customFormat="false" ht="15" hidden="false" customHeight="false" outlineLevel="0" collapsed="false">
      <c r="A8" s="13" t="n">
        <v>7</v>
      </c>
      <c r="B8" s="15"/>
      <c r="C8" s="15"/>
      <c r="D8" s="15"/>
      <c r="E8" s="15"/>
      <c r="F8" s="15"/>
      <c r="G8" s="15"/>
      <c r="H8" s="14"/>
      <c r="I8" s="14"/>
      <c r="J8" s="14"/>
      <c r="K8" s="16" t="n">
        <f aca="false">H8+I8-J8</f>
        <v>0</v>
      </c>
      <c r="L8" s="14"/>
      <c r="M8" s="14"/>
      <c r="N8" s="17" t="str">
        <f aca="false">IF(K8="","",IF(K8=0,"ĐỎ - Hết hàng",IF(K8&lt;L8*0.5,"ĐỎ - Cực thấp",IF(K8&lt;L8,"VÀNG - Dưới MIN",IF(K8&gt;M8,"VÀNG - Vượt MAX","XANH - Bình thường")))))</f>
        <v>ĐỎ - Hết hàng</v>
      </c>
      <c r="O8" s="16" t="str">
        <f aca="false">IFERROR(IF(J8=0,"",ROUND(K8/(J8/30),0)),"")</f>
        <v/>
      </c>
      <c r="P8" s="15"/>
      <c r="Q8" s="14"/>
      <c r="R8" s="15"/>
      <c r="S8" s="15"/>
    </row>
    <row r="9" customFormat="false" ht="15" hidden="false" customHeight="false" outlineLevel="0" collapsed="false">
      <c r="A9" s="13" t="n">
        <v>8</v>
      </c>
      <c r="B9" s="15"/>
      <c r="C9" s="15"/>
      <c r="D9" s="15"/>
      <c r="E9" s="15"/>
      <c r="F9" s="15"/>
      <c r="G9" s="15"/>
      <c r="H9" s="14"/>
      <c r="I9" s="14"/>
      <c r="J9" s="14"/>
      <c r="K9" s="16" t="n">
        <f aca="false">H9+I9-J9</f>
        <v>0</v>
      </c>
      <c r="L9" s="14"/>
      <c r="M9" s="14"/>
      <c r="N9" s="17" t="str">
        <f aca="false">IF(K9="","",IF(K9=0,"ĐỎ - Hết hàng",IF(K9&lt;L9*0.5,"ĐỎ - Cực thấp",IF(K9&lt;L9,"VÀNG - Dưới MIN",IF(K9&gt;M9,"VÀNG - Vượt MAX","XANH - Bình thường")))))</f>
        <v>ĐỎ - Hết hàng</v>
      </c>
      <c r="O9" s="16" t="str">
        <f aca="false">IFERROR(IF(J9=0,"",ROUND(K9/(J9/30),0)),"")</f>
        <v/>
      </c>
      <c r="P9" s="15"/>
      <c r="Q9" s="14"/>
      <c r="R9" s="15"/>
      <c r="S9" s="15"/>
    </row>
    <row r="10" customFormat="false" ht="15" hidden="false" customHeight="false" outlineLevel="0" collapsed="false">
      <c r="A10" s="13" t="n">
        <v>9</v>
      </c>
      <c r="B10" s="15"/>
      <c r="C10" s="15"/>
      <c r="D10" s="15"/>
      <c r="E10" s="15"/>
      <c r="F10" s="15"/>
      <c r="G10" s="15"/>
      <c r="H10" s="14"/>
      <c r="I10" s="14"/>
      <c r="J10" s="14"/>
      <c r="K10" s="16" t="n">
        <f aca="false">H10+I10-J10</f>
        <v>0</v>
      </c>
      <c r="L10" s="14"/>
      <c r="M10" s="14"/>
      <c r="N10" s="17" t="str">
        <f aca="false">IF(K10="","",IF(K10=0,"ĐỎ - Hết hàng",IF(K10&lt;L10*0.5,"ĐỎ - Cực thấp",IF(K10&lt;L10,"VÀNG - Dưới MIN",IF(K10&gt;M10,"VÀNG - Vượt MAX","XANH - Bình thường")))))</f>
        <v>ĐỎ - Hết hàng</v>
      </c>
      <c r="O10" s="16" t="str">
        <f aca="false">IFERROR(IF(J10=0,"",ROUND(K10/(J10/30),0)),"")</f>
        <v/>
      </c>
      <c r="P10" s="15"/>
      <c r="Q10" s="14"/>
      <c r="R10" s="15"/>
      <c r="S10" s="15"/>
    </row>
    <row r="11" customFormat="false" ht="15" hidden="false" customHeight="false" outlineLevel="0" collapsed="false">
      <c r="A11" s="13" t="n">
        <v>10</v>
      </c>
      <c r="B11" s="15"/>
      <c r="C11" s="15"/>
      <c r="D11" s="15"/>
      <c r="E11" s="15"/>
      <c r="F11" s="15"/>
      <c r="G11" s="15"/>
      <c r="H11" s="14"/>
      <c r="I11" s="14"/>
      <c r="J11" s="14"/>
      <c r="K11" s="16" t="n">
        <f aca="false">H11+I11-J11</f>
        <v>0</v>
      </c>
      <c r="L11" s="14"/>
      <c r="M11" s="14"/>
      <c r="N11" s="17" t="str">
        <f aca="false">IF(K11="","",IF(K11=0,"ĐỎ - Hết hàng",IF(K11&lt;L11*0.5,"ĐỎ - Cực thấp",IF(K11&lt;L11,"VÀNG - Dưới MIN",IF(K11&gt;M11,"VÀNG - Vượt MAX","XANH - Bình thường")))))</f>
        <v>ĐỎ - Hết hàng</v>
      </c>
      <c r="O11" s="16" t="str">
        <f aca="false">IFERROR(IF(J11=0,"",ROUND(K11/(J11/30),0)),"")</f>
        <v/>
      </c>
      <c r="P11" s="15"/>
      <c r="Q11" s="14"/>
      <c r="R11" s="15"/>
      <c r="S11" s="15"/>
    </row>
  </sheetData>
  <conditionalFormatting sqref="N2:N100">
    <cfRule type="expression" priority="2" aboveAverage="0" equalAverage="0" bottom="0" percent="0" rank="0" text="" dxfId="0">
      <formula>ISNUMBER(SEARCH("ĐỎ",N2))</formula>
    </cfRule>
    <cfRule type="expression" priority="3" aboveAverage="0" equalAverage="0" bottom="0" percent="0" rank="0" text="" dxfId="1">
      <formula>ISNUMBER(SEARCH("VÀNG",N2))</formula>
    </cfRule>
    <cfRule type="expression" priority="4" aboveAverage="0" equalAverage="0" bottom="0" percent="0" rank="0" text="" dxfId="2">
      <formula>ISNUMBER(SEARCH("XANH",N2))</formula>
    </cfRule>
  </conditionalFormatting>
  <dataValidations count="3">
    <dataValidation allowBlank="true" errorStyle="stop" operator="between" showDropDown="false" showErrorMessage="false" showInputMessage="false" sqref="E2:E1000" type="list">
      <formula1>"Vật tư,Hóa chất,Linh kiện,Khác"</formula1>
      <formula2>0</formula2>
    </dataValidation>
    <dataValidation allowBlank="true" errorStyle="stop" operator="between" showDropDown="false" showErrorMessage="false" showInputMessage="false" sqref="F2:F1000" type="list">
      <formula1>dm_co_so!$A$2:$A$5</formula1>
      <formula2>0</formula2>
    </dataValidation>
    <dataValidation allowBlank="true" errorStyle="stop" operator="between" showDropDown="false" showErrorMessage="false" showInputMessage="false" sqref="G2:G1000" type="list">
      <formula1>dm_canbo!$A$2:$A$33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30"/>
    <col collapsed="false" customWidth="true" hidden="false" outlineLevel="0" max="8" min="7" style="0" width="10"/>
    <col collapsed="false" customWidth="true" hidden="false" outlineLevel="0" max="9" min="9" style="0" width="22"/>
    <col collapsed="false" customWidth="true" hidden="false" outlineLevel="0" max="11" min="10" style="0" width="18"/>
    <col collapsed="false" customWidth="true" hidden="false" outlineLevel="0" max="13" min="12" style="0" width="14"/>
    <col collapsed="false" customWidth="true" hidden="false" outlineLevel="0" max="14" min="14" style="0" width="30"/>
  </cols>
  <sheetData>
    <row r="1" customFormat="false" ht="31.5" hidden="false" customHeight="true" outlineLevel="0" collapsed="false">
      <c r="A1" s="9" t="s">
        <v>166</v>
      </c>
      <c r="B1" s="9" t="s">
        <v>184</v>
      </c>
      <c r="C1" s="9" t="s">
        <v>185</v>
      </c>
      <c r="D1" s="9" t="s">
        <v>170</v>
      </c>
      <c r="E1" s="9" t="s">
        <v>186</v>
      </c>
      <c r="F1" s="9" t="s">
        <v>187</v>
      </c>
      <c r="G1" s="9" t="s">
        <v>188</v>
      </c>
      <c r="H1" s="9" t="s">
        <v>129</v>
      </c>
      <c r="I1" s="9" t="s">
        <v>189</v>
      </c>
      <c r="J1" s="9" t="s">
        <v>190</v>
      </c>
      <c r="K1" s="9" t="s">
        <v>191</v>
      </c>
      <c r="L1" s="9" t="s">
        <v>192</v>
      </c>
      <c r="M1" s="9" t="s">
        <v>193</v>
      </c>
      <c r="N1" s="9" t="s">
        <v>40</v>
      </c>
    </row>
    <row r="2" customFormat="false" ht="15" hidden="false" customHeight="false" outlineLevel="0" collapsed="false">
      <c r="A2" s="18" t="n">
        <v>1</v>
      </c>
      <c r="B2" s="19"/>
      <c r="C2" s="15"/>
      <c r="D2" s="14"/>
      <c r="E2" s="15"/>
      <c r="F2" s="15"/>
      <c r="G2" s="14"/>
      <c r="H2" s="14"/>
      <c r="I2" s="16" t="str">
        <f aca="false">IFERROR(IF(VLOOKUP(C2,dm_khoa!$B$3:$D$50,3,FALSE())="TRUE","CAO (khoa trọng yếu)","Bình thường"),"")</f>
        <v/>
      </c>
      <c r="J2" s="14"/>
      <c r="K2" s="14"/>
      <c r="L2" s="19"/>
      <c r="M2" s="19"/>
      <c r="N2" s="15"/>
    </row>
    <row r="3" customFormat="false" ht="15" hidden="false" customHeight="false" outlineLevel="0" collapsed="false">
      <c r="A3" s="18" t="n">
        <v>2</v>
      </c>
      <c r="B3" s="19"/>
      <c r="C3" s="15"/>
      <c r="D3" s="14"/>
      <c r="E3" s="15"/>
      <c r="F3" s="15"/>
      <c r="G3" s="14"/>
      <c r="H3" s="14"/>
      <c r="I3" s="16" t="str">
        <f aca="false">IFERROR(IF(VLOOKUP(C3,dm_khoa!$B$3:$D$50,3,FALSE())="TRUE","CAO (khoa trọng yếu)","Bình thường"),"")</f>
        <v/>
      </c>
      <c r="J3" s="14"/>
      <c r="K3" s="14"/>
      <c r="L3" s="19"/>
      <c r="M3" s="19"/>
      <c r="N3" s="15"/>
    </row>
    <row r="4" customFormat="false" ht="15" hidden="false" customHeight="false" outlineLevel="0" collapsed="false">
      <c r="A4" s="18" t="n">
        <v>3</v>
      </c>
      <c r="B4" s="19"/>
      <c r="C4" s="15"/>
      <c r="D4" s="14"/>
      <c r="E4" s="15"/>
      <c r="F4" s="15"/>
      <c r="G4" s="14"/>
      <c r="H4" s="14"/>
      <c r="I4" s="16" t="str">
        <f aca="false">IFERROR(IF(VLOOKUP(C4,dm_khoa!$B$3:$D$50,3,FALSE())="TRUE","CAO (khoa trọng yếu)","Bình thường"),"")</f>
        <v/>
      </c>
      <c r="J4" s="14"/>
      <c r="K4" s="14"/>
      <c r="L4" s="19"/>
      <c r="M4" s="19"/>
      <c r="N4" s="15"/>
    </row>
    <row r="5" customFormat="false" ht="15" hidden="false" customHeight="false" outlineLevel="0" collapsed="false">
      <c r="A5" s="18" t="n">
        <v>4</v>
      </c>
      <c r="B5" s="19"/>
      <c r="C5" s="15"/>
      <c r="D5" s="14"/>
      <c r="E5" s="15"/>
      <c r="F5" s="15"/>
      <c r="G5" s="14"/>
      <c r="H5" s="14"/>
      <c r="I5" s="16" t="str">
        <f aca="false">IFERROR(IF(VLOOKUP(C5,dm_khoa!$B$3:$D$50,3,FALSE())="TRUE","CAO (khoa trọng yếu)","Bình thường"),"")</f>
        <v/>
      </c>
      <c r="J5" s="14"/>
      <c r="K5" s="14"/>
      <c r="L5" s="19"/>
      <c r="M5" s="19"/>
      <c r="N5" s="15"/>
    </row>
    <row r="6" customFormat="false" ht="15" hidden="false" customHeight="false" outlineLevel="0" collapsed="false">
      <c r="A6" s="18" t="n">
        <v>5</v>
      </c>
      <c r="B6" s="19"/>
      <c r="C6" s="15"/>
      <c r="D6" s="14"/>
      <c r="E6" s="15"/>
      <c r="F6" s="15"/>
      <c r="G6" s="14"/>
      <c r="H6" s="14"/>
      <c r="I6" s="16" t="str">
        <f aca="false">IFERROR(IF(VLOOKUP(C6,dm_khoa!$B$3:$D$50,3,FALSE())="TRUE","CAO (khoa trọng yếu)","Bình thường"),"")</f>
        <v/>
      </c>
      <c r="J6" s="14"/>
      <c r="K6" s="14"/>
      <c r="L6" s="19"/>
      <c r="M6" s="19"/>
      <c r="N6" s="15"/>
    </row>
    <row r="7" customFormat="false" ht="15" hidden="false" customHeight="false" outlineLevel="0" collapsed="false">
      <c r="A7" s="18" t="n">
        <v>6</v>
      </c>
      <c r="B7" s="19"/>
      <c r="C7" s="15"/>
      <c r="D7" s="14"/>
      <c r="E7" s="15"/>
      <c r="F7" s="15"/>
      <c r="G7" s="14"/>
      <c r="H7" s="14"/>
      <c r="I7" s="16" t="str">
        <f aca="false">IFERROR(IF(VLOOKUP(C7,dm_khoa!$B$3:$D$50,3,FALSE())="TRUE","CAO (khoa trọng yếu)","Bình thường"),"")</f>
        <v/>
      </c>
      <c r="J7" s="14"/>
      <c r="K7" s="14"/>
      <c r="L7" s="19"/>
      <c r="M7" s="19"/>
      <c r="N7" s="15"/>
    </row>
    <row r="8" customFormat="false" ht="15" hidden="false" customHeight="false" outlineLevel="0" collapsed="false">
      <c r="A8" s="18" t="n">
        <v>7</v>
      </c>
      <c r="B8" s="19"/>
      <c r="C8" s="15"/>
      <c r="D8" s="14"/>
      <c r="E8" s="15"/>
      <c r="F8" s="15"/>
      <c r="G8" s="14"/>
      <c r="H8" s="14"/>
      <c r="I8" s="16" t="str">
        <f aca="false">IFERROR(IF(VLOOKUP(C8,dm_khoa!$B$3:$D$50,3,FALSE())="TRUE","CAO (khoa trọng yếu)","Bình thường"),"")</f>
        <v/>
      </c>
      <c r="J8" s="14"/>
      <c r="K8" s="14"/>
      <c r="L8" s="19"/>
      <c r="M8" s="19"/>
      <c r="N8" s="15"/>
    </row>
    <row r="9" customFormat="false" ht="15" hidden="false" customHeight="false" outlineLevel="0" collapsed="false">
      <c r="A9" s="18" t="n">
        <v>8</v>
      </c>
      <c r="B9" s="19"/>
      <c r="C9" s="15"/>
      <c r="D9" s="14"/>
      <c r="E9" s="15"/>
      <c r="F9" s="15"/>
      <c r="G9" s="14"/>
      <c r="H9" s="14"/>
      <c r="I9" s="16" t="str">
        <f aca="false">IFERROR(IF(VLOOKUP(C9,dm_khoa!$B$3:$D$50,3,FALSE())="TRUE","CAO (khoa trọng yếu)","Bình thường"),"")</f>
        <v/>
      </c>
      <c r="J9" s="14"/>
      <c r="K9" s="14"/>
      <c r="L9" s="19"/>
      <c r="M9" s="19"/>
      <c r="N9" s="15"/>
    </row>
    <row r="10" customFormat="false" ht="15" hidden="false" customHeight="false" outlineLevel="0" collapsed="false">
      <c r="A10" s="18" t="n">
        <v>9</v>
      </c>
      <c r="B10" s="19"/>
      <c r="C10" s="15"/>
      <c r="D10" s="14"/>
      <c r="E10" s="15"/>
      <c r="F10" s="15"/>
      <c r="G10" s="14"/>
      <c r="H10" s="14"/>
      <c r="I10" s="16" t="str">
        <f aca="false">IFERROR(IF(VLOOKUP(C10,dm_khoa!$B$3:$D$50,3,FALSE())="TRUE","CAO (khoa trọng yếu)","Bình thường"),"")</f>
        <v/>
      </c>
      <c r="J10" s="14"/>
      <c r="K10" s="14"/>
      <c r="L10" s="19"/>
      <c r="M10" s="19"/>
      <c r="N10" s="15"/>
    </row>
    <row r="11" customFormat="false" ht="15" hidden="false" customHeight="false" outlineLevel="0" collapsed="false">
      <c r="A11" s="18" t="n">
        <v>10</v>
      </c>
      <c r="B11" s="19"/>
      <c r="C11" s="15"/>
      <c r="D11" s="14"/>
      <c r="E11" s="15"/>
      <c r="F11" s="15"/>
      <c r="G11" s="14"/>
      <c r="H11" s="14"/>
      <c r="I11" s="16" t="str">
        <f aca="false">IFERROR(IF(VLOOKUP(C11,dm_khoa!$B$3:$D$50,3,FALSE())="TRUE","CAO (khoa trọng yếu)","Bình thường"),"")</f>
        <v/>
      </c>
      <c r="J11" s="14"/>
      <c r="K11" s="14"/>
      <c r="L11" s="19"/>
      <c r="M11" s="19"/>
      <c r="N11" s="15"/>
    </row>
    <row r="12" customFormat="false" ht="15" hidden="false" customHeight="false" outlineLevel="0" collapsed="false">
      <c r="B12" s="20"/>
      <c r="L12" s="20"/>
      <c r="M12" s="20"/>
    </row>
    <row r="13" customFormat="false" ht="15" hidden="false" customHeight="false" outlineLevel="0" collapsed="false">
      <c r="B13" s="20"/>
      <c r="L13" s="20"/>
      <c r="M13" s="20"/>
    </row>
    <row r="14" customFormat="false" ht="15" hidden="false" customHeight="false" outlineLevel="0" collapsed="false">
      <c r="B14" s="20"/>
      <c r="L14" s="20"/>
      <c r="M14" s="20"/>
    </row>
    <row r="15" customFormat="false" ht="15" hidden="false" customHeight="false" outlineLevel="0" collapsed="false">
      <c r="B15" s="20"/>
      <c r="L15" s="20"/>
      <c r="M15" s="20"/>
    </row>
    <row r="16" customFormat="false" ht="15" hidden="false" customHeight="false" outlineLevel="0" collapsed="false">
      <c r="B16" s="20"/>
      <c r="L16" s="20"/>
      <c r="M16" s="20"/>
    </row>
    <row r="17" customFormat="false" ht="15" hidden="false" customHeight="false" outlineLevel="0" collapsed="false">
      <c r="B17" s="20"/>
      <c r="L17" s="20"/>
      <c r="M17" s="20"/>
    </row>
    <row r="18" customFormat="false" ht="15" hidden="false" customHeight="false" outlineLevel="0" collapsed="false">
      <c r="B18" s="20"/>
      <c r="L18" s="20"/>
      <c r="M18" s="20"/>
    </row>
    <row r="19" customFormat="false" ht="15" hidden="false" customHeight="false" outlineLevel="0" collapsed="false">
      <c r="B19" s="20"/>
      <c r="L19" s="20"/>
      <c r="M19" s="20"/>
    </row>
    <row r="20" customFormat="false" ht="15" hidden="false" customHeight="false" outlineLevel="0" collapsed="false">
      <c r="B20" s="20"/>
      <c r="L20" s="20"/>
      <c r="M20" s="20"/>
    </row>
    <row r="21" customFormat="false" ht="15" hidden="false" customHeight="false" outlineLevel="0" collapsed="false">
      <c r="B21" s="20"/>
      <c r="L21" s="20"/>
      <c r="M21" s="20"/>
    </row>
    <row r="22" customFormat="false" ht="15" hidden="false" customHeight="false" outlineLevel="0" collapsed="false">
      <c r="B22" s="20"/>
      <c r="L22" s="20"/>
      <c r="M22" s="20"/>
    </row>
    <row r="23" customFormat="false" ht="15" hidden="false" customHeight="false" outlineLevel="0" collapsed="false">
      <c r="B23" s="20"/>
      <c r="L23" s="20"/>
      <c r="M23" s="20"/>
    </row>
    <row r="24" customFormat="false" ht="15" hidden="false" customHeight="false" outlineLevel="0" collapsed="false">
      <c r="B24" s="20"/>
      <c r="L24" s="20"/>
      <c r="M24" s="20"/>
    </row>
    <row r="25" customFormat="false" ht="15" hidden="false" customHeight="false" outlineLevel="0" collapsed="false">
      <c r="B25" s="20"/>
      <c r="L25" s="20"/>
      <c r="M25" s="20"/>
    </row>
    <row r="26" customFormat="false" ht="15" hidden="false" customHeight="false" outlineLevel="0" collapsed="false">
      <c r="B26" s="20"/>
      <c r="L26" s="20"/>
      <c r="M26" s="20"/>
    </row>
    <row r="27" customFormat="false" ht="15" hidden="false" customHeight="false" outlineLevel="0" collapsed="false">
      <c r="B27" s="20"/>
      <c r="L27" s="20"/>
      <c r="M27" s="20"/>
    </row>
    <row r="28" customFormat="false" ht="15" hidden="false" customHeight="false" outlineLevel="0" collapsed="false">
      <c r="B28" s="20"/>
      <c r="L28" s="20"/>
      <c r="M28" s="20"/>
    </row>
    <row r="29" customFormat="false" ht="15" hidden="false" customHeight="false" outlineLevel="0" collapsed="false">
      <c r="B29" s="20"/>
      <c r="L29" s="20"/>
      <c r="M29" s="20"/>
    </row>
    <row r="30" customFormat="false" ht="15" hidden="false" customHeight="false" outlineLevel="0" collapsed="false">
      <c r="B30" s="20"/>
      <c r="L30" s="20"/>
      <c r="M30" s="20"/>
    </row>
    <row r="31" customFormat="false" ht="15" hidden="false" customHeight="false" outlineLevel="0" collapsed="false">
      <c r="B31" s="20"/>
      <c r="L31" s="20"/>
      <c r="M31" s="20"/>
    </row>
    <row r="32" customFormat="false" ht="15" hidden="false" customHeight="false" outlineLevel="0" collapsed="false">
      <c r="B32" s="20"/>
      <c r="L32" s="20"/>
      <c r="M32" s="20"/>
    </row>
    <row r="33" customFormat="false" ht="15" hidden="false" customHeight="false" outlineLevel="0" collapsed="false">
      <c r="B33" s="20"/>
      <c r="L33" s="20"/>
      <c r="M33" s="20"/>
    </row>
    <row r="34" customFormat="false" ht="15" hidden="false" customHeight="false" outlineLevel="0" collapsed="false">
      <c r="B34" s="20"/>
      <c r="L34" s="20"/>
      <c r="M34" s="20"/>
    </row>
    <row r="35" customFormat="false" ht="15" hidden="false" customHeight="false" outlineLevel="0" collapsed="false">
      <c r="B35" s="20"/>
      <c r="L35" s="20"/>
      <c r="M35" s="20"/>
    </row>
    <row r="36" customFormat="false" ht="15" hidden="false" customHeight="false" outlineLevel="0" collapsed="false">
      <c r="B36" s="20"/>
      <c r="L36" s="20"/>
      <c r="M36" s="20"/>
    </row>
    <row r="37" customFormat="false" ht="15" hidden="false" customHeight="false" outlineLevel="0" collapsed="false">
      <c r="B37" s="20"/>
      <c r="L37" s="20"/>
      <c r="M37" s="20"/>
    </row>
    <row r="38" customFormat="false" ht="15" hidden="false" customHeight="false" outlineLevel="0" collapsed="false">
      <c r="B38" s="20"/>
      <c r="L38" s="20"/>
      <c r="M38" s="20"/>
    </row>
    <row r="39" customFormat="false" ht="15" hidden="false" customHeight="false" outlineLevel="0" collapsed="false">
      <c r="B39" s="20"/>
      <c r="L39" s="20"/>
      <c r="M39" s="20"/>
    </row>
    <row r="40" customFormat="false" ht="15" hidden="false" customHeight="false" outlineLevel="0" collapsed="false">
      <c r="B40" s="20"/>
      <c r="L40" s="20"/>
      <c r="M40" s="20"/>
    </row>
    <row r="41" customFormat="false" ht="15" hidden="false" customHeight="false" outlineLevel="0" collapsed="false">
      <c r="B41" s="20"/>
      <c r="L41" s="20"/>
      <c r="M41" s="20"/>
    </row>
    <row r="42" customFormat="false" ht="15" hidden="false" customHeight="false" outlineLevel="0" collapsed="false">
      <c r="B42" s="20"/>
      <c r="L42" s="20"/>
      <c r="M42" s="20"/>
    </row>
    <row r="43" customFormat="false" ht="15" hidden="false" customHeight="false" outlineLevel="0" collapsed="false">
      <c r="B43" s="20"/>
      <c r="L43" s="20"/>
      <c r="M43" s="20"/>
    </row>
    <row r="44" customFormat="false" ht="15" hidden="false" customHeight="false" outlineLevel="0" collapsed="false">
      <c r="B44" s="20"/>
      <c r="L44" s="20"/>
      <c r="M44" s="20"/>
    </row>
    <row r="45" customFormat="false" ht="15" hidden="false" customHeight="false" outlineLevel="0" collapsed="false">
      <c r="B45" s="20"/>
      <c r="L45" s="20"/>
      <c r="M45" s="20"/>
    </row>
    <row r="46" customFormat="false" ht="15" hidden="false" customHeight="false" outlineLevel="0" collapsed="false">
      <c r="B46" s="20"/>
      <c r="L46" s="20"/>
      <c r="M46" s="20"/>
    </row>
    <row r="47" customFormat="false" ht="15" hidden="false" customHeight="false" outlineLevel="0" collapsed="false">
      <c r="B47" s="20"/>
      <c r="L47" s="20"/>
      <c r="M47" s="20"/>
    </row>
    <row r="48" customFormat="false" ht="15" hidden="false" customHeight="false" outlineLevel="0" collapsed="false">
      <c r="B48" s="20"/>
      <c r="L48" s="20"/>
      <c r="M48" s="20"/>
    </row>
    <row r="49" customFormat="false" ht="15" hidden="false" customHeight="false" outlineLevel="0" collapsed="false">
      <c r="B49" s="20"/>
      <c r="L49" s="20"/>
      <c r="M49" s="20"/>
    </row>
    <row r="50" customFormat="false" ht="15" hidden="false" customHeight="false" outlineLevel="0" collapsed="false">
      <c r="B50" s="20"/>
      <c r="L50" s="20"/>
      <c r="M50" s="20"/>
    </row>
    <row r="51" customFormat="false" ht="15" hidden="false" customHeight="false" outlineLevel="0" collapsed="false">
      <c r="B51" s="20"/>
      <c r="L51" s="20"/>
      <c r="M51" s="20"/>
    </row>
    <row r="52" customFormat="false" ht="15" hidden="false" customHeight="false" outlineLevel="0" collapsed="false">
      <c r="B52" s="20"/>
      <c r="L52" s="20"/>
      <c r="M52" s="20"/>
    </row>
    <row r="53" customFormat="false" ht="15" hidden="false" customHeight="false" outlineLevel="0" collapsed="false">
      <c r="B53" s="20"/>
      <c r="L53" s="20"/>
      <c r="M53" s="20"/>
    </row>
    <row r="54" customFormat="false" ht="15" hidden="false" customHeight="false" outlineLevel="0" collapsed="false">
      <c r="B54" s="20"/>
      <c r="L54" s="20"/>
      <c r="M54" s="20"/>
    </row>
    <row r="55" customFormat="false" ht="15" hidden="false" customHeight="false" outlineLevel="0" collapsed="false">
      <c r="B55" s="20"/>
      <c r="L55" s="20"/>
      <c r="M55" s="20"/>
    </row>
    <row r="56" customFormat="false" ht="15" hidden="false" customHeight="false" outlineLevel="0" collapsed="false">
      <c r="B56" s="20"/>
      <c r="L56" s="20"/>
      <c r="M56" s="20"/>
    </row>
    <row r="57" customFormat="false" ht="15" hidden="false" customHeight="false" outlineLevel="0" collapsed="false">
      <c r="B57" s="20"/>
      <c r="L57" s="20"/>
      <c r="M57" s="20"/>
    </row>
    <row r="58" customFormat="false" ht="15" hidden="false" customHeight="false" outlineLevel="0" collapsed="false">
      <c r="B58" s="20"/>
      <c r="L58" s="20"/>
      <c r="M58" s="20"/>
    </row>
    <row r="59" customFormat="false" ht="15" hidden="false" customHeight="false" outlineLevel="0" collapsed="false">
      <c r="B59" s="20"/>
      <c r="L59" s="20"/>
      <c r="M59" s="20"/>
    </row>
    <row r="60" customFormat="false" ht="15" hidden="false" customHeight="false" outlineLevel="0" collapsed="false">
      <c r="B60" s="20"/>
      <c r="L60" s="20"/>
      <c r="M60" s="20"/>
    </row>
    <row r="61" customFormat="false" ht="15" hidden="false" customHeight="false" outlineLevel="0" collapsed="false">
      <c r="B61" s="20"/>
      <c r="L61" s="20"/>
      <c r="M61" s="20"/>
    </row>
    <row r="62" customFormat="false" ht="15" hidden="false" customHeight="false" outlineLevel="0" collapsed="false">
      <c r="B62" s="20"/>
      <c r="L62" s="20"/>
      <c r="M62" s="20"/>
    </row>
    <row r="63" customFormat="false" ht="15" hidden="false" customHeight="false" outlineLevel="0" collapsed="false">
      <c r="B63" s="20"/>
      <c r="L63" s="20"/>
      <c r="M63" s="20"/>
    </row>
    <row r="64" customFormat="false" ht="15" hidden="false" customHeight="false" outlineLevel="0" collapsed="false">
      <c r="B64" s="20"/>
      <c r="L64" s="20"/>
      <c r="M64" s="20"/>
    </row>
    <row r="65" customFormat="false" ht="15" hidden="false" customHeight="false" outlineLevel="0" collapsed="false">
      <c r="B65" s="20"/>
      <c r="L65" s="20"/>
      <c r="M65" s="20"/>
    </row>
    <row r="66" customFormat="false" ht="15" hidden="false" customHeight="false" outlineLevel="0" collapsed="false">
      <c r="B66" s="20"/>
      <c r="L66" s="20"/>
      <c r="M66" s="20"/>
    </row>
    <row r="67" customFormat="false" ht="15" hidden="false" customHeight="false" outlineLevel="0" collapsed="false">
      <c r="B67" s="20"/>
      <c r="L67" s="20"/>
      <c r="M67" s="20"/>
    </row>
    <row r="68" customFormat="false" ht="15" hidden="false" customHeight="false" outlineLevel="0" collapsed="false">
      <c r="B68" s="20"/>
      <c r="L68" s="20"/>
      <c r="M68" s="20"/>
    </row>
    <row r="69" customFormat="false" ht="15" hidden="false" customHeight="false" outlineLevel="0" collapsed="false">
      <c r="B69" s="20"/>
      <c r="L69" s="20"/>
      <c r="M69" s="20"/>
    </row>
    <row r="70" customFormat="false" ht="15" hidden="false" customHeight="false" outlineLevel="0" collapsed="false">
      <c r="B70" s="20"/>
      <c r="L70" s="20"/>
      <c r="M70" s="20"/>
    </row>
    <row r="71" customFormat="false" ht="15" hidden="false" customHeight="false" outlineLevel="0" collapsed="false">
      <c r="B71" s="20"/>
      <c r="L71" s="20"/>
      <c r="M71" s="20"/>
    </row>
    <row r="72" customFormat="false" ht="15" hidden="false" customHeight="false" outlineLevel="0" collapsed="false">
      <c r="B72" s="20"/>
      <c r="L72" s="20"/>
      <c r="M72" s="20"/>
    </row>
    <row r="73" customFormat="false" ht="15" hidden="false" customHeight="false" outlineLevel="0" collapsed="false">
      <c r="B73" s="20"/>
      <c r="L73" s="20"/>
      <c r="M73" s="20"/>
    </row>
    <row r="74" customFormat="false" ht="15" hidden="false" customHeight="false" outlineLevel="0" collapsed="false">
      <c r="B74" s="20"/>
      <c r="L74" s="20"/>
      <c r="M74" s="20"/>
    </row>
    <row r="75" customFormat="false" ht="15" hidden="false" customHeight="false" outlineLevel="0" collapsed="false">
      <c r="B75" s="20"/>
      <c r="L75" s="20"/>
      <c r="M75" s="20"/>
    </row>
    <row r="76" customFormat="false" ht="15" hidden="false" customHeight="false" outlineLevel="0" collapsed="false">
      <c r="B76" s="20"/>
      <c r="L76" s="20"/>
      <c r="M76" s="20"/>
    </row>
    <row r="77" customFormat="false" ht="15" hidden="false" customHeight="false" outlineLevel="0" collapsed="false">
      <c r="B77" s="20"/>
      <c r="L77" s="20"/>
      <c r="M77" s="20"/>
    </row>
    <row r="78" customFormat="false" ht="15" hidden="false" customHeight="false" outlineLevel="0" collapsed="false">
      <c r="B78" s="20"/>
      <c r="L78" s="20"/>
      <c r="M78" s="20"/>
    </row>
    <row r="79" customFormat="false" ht="15" hidden="false" customHeight="false" outlineLevel="0" collapsed="false">
      <c r="B79" s="20"/>
      <c r="L79" s="20"/>
      <c r="M79" s="20"/>
    </row>
    <row r="80" customFormat="false" ht="15" hidden="false" customHeight="false" outlineLevel="0" collapsed="false">
      <c r="B80" s="20"/>
      <c r="L80" s="20"/>
      <c r="M80" s="20"/>
    </row>
    <row r="81" customFormat="false" ht="15" hidden="false" customHeight="false" outlineLevel="0" collapsed="false">
      <c r="B81" s="20"/>
      <c r="L81" s="20"/>
      <c r="M81" s="20"/>
    </row>
    <row r="82" customFormat="false" ht="15" hidden="false" customHeight="false" outlineLevel="0" collapsed="false">
      <c r="B82" s="20"/>
      <c r="L82" s="20"/>
      <c r="M82" s="20"/>
    </row>
    <row r="83" customFormat="false" ht="15" hidden="false" customHeight="false" outlineLevel="0" collapsed="false">
      <c r="B83" s="20"/>
      <c r="L83" s="20"/>
      <c r="M83" s="20"/>
    </row>
    <row r="84" customFormat="false" ht="15" hidden="false" customHeight="false" outlineLevel="0" collapsed="false">
      <c r="B84" s="20"/>
      <c r="L84" s="20"/>
      <c r="M84" s="20"/>
    </row>
    <row r="85" customFormat="false" ht="15" hidden="false" customHeight="false" outlineLevel="0" collapsed="false">
      <c r="B85" s="20"/>
      <c r="L85" s="20"/>
      <c r="M85" s="20"/>
    </row>
    <row r="86" customFormat="false" ht="15" hidden="false" customHeight="false" outlineLevel="0" collapsed="false">
      <c r="B86" s="20"/>
      <c r="L86" s="20"/>
      <c r="M86" s="20"/>
    </row>
    <row r="87" customFormat="false" ht="15" hidden="false" customHeight="false" outlineLevel="0" collapsed="false">
      <c r="B87" s="20"/>
      <c r="L87" s="20"/>
      <c r="M87" s="20"/>
    </row>
    <row r="88" customFormat="false" ht="15" hidden="false" customHeight="false" outlineLevel="0" collapsed="false">
      <c r="B88" s="20"/>
      <c r="L88" s="20"/>
      <c r="M88" s="20"/>
    </row>
    <row r="89" customFormat="false" ht="15" hidden="false" customHeight="false" outlineLevel="0" collapsed="false">
      <c r="B89" s="20"/>
      <c r="L89" s="20"/>
      <c r="M89" s="20"/>
    </row>
    <row r="90" customFormat="false" ht="15" hidden="false" customHeight="false" outlineLevel="0" collapsed="false">
      <c r="B90" s="20"/>
      <c r="L90" s="20"/>
      <c r="M90" s="20"/>
    </row>
    <row r="91" customFormat="false" ht="15" hidden="false" customHeight="false" outlineLevel="0" collapsed="false">
      <c r="B91" s="20"/>
      <c r="L91" s="20"/>
      <c r="M91" s="20"/>
    </row>
    <row r="92" customFormat="false" ht="15" hidden="false" customHeight="false" outlineLevel="0" collapsed="false">
      <c r="B92" s="20"/>
      <c r="L92" s="20"/>
      <c r="M92" s="20"/>
    </row>
    <row r="93" customFormat="false" ht="15" hidden="false" customHeight="false" outlineLevel="0" collapsed="false">
      <c r="B93" s="20"/>
      <c r="L93" s="20"/>
      <c r="M93" s="20"/>
    </row>
    <row r="94" customFormat="false" ht="15" hidden="false" customHeight="false" outlineLevel="0" collapsed="false">
      <c r="B94" s="20"/>
      <c r="L94" s="20"/>
      <c r="M94" s="20"/>
    </row>
    <row r="95" customFormat="false" ht="15" hidden="false" customHeight="false" outlineLevel="0" collapsed="false">
      <c r="B95" s="20"/>
      <c r="L95" s="20"/>
      <c r="M95" s="20"/>
    </row>
    <row r="96" customFormat="false" ht="15" hidden="false" customHeight="false" outlineLevel="0" collapsed="false">
      <c r="B96" s="20"/>
      <c r="L96" s="20"/>
      <c r="M96" s="20"/>
    </row>
    <row r="97" customFormat="false" ht="15" hidden="false" customHeight="false" outlineLevel="0" collapsed="false">
      <c r="B97" s="20"/>
      <c r="L97" s="20"/>
      <c r="M97" s="20"/>
    </row>
    <row r="98" customFormat="false" ht="15" hidden="false" customHeight="false" outlineLevel="0" collapsed="false">
      <c r="B98" s="20"/>
      <c r="L98" s="20"/>
      <c r="M98" s="20"/>
    </row>
    <row r="99" customFormat="false" ht="15" hidden="false" customHeight="false" outlineLevel="0" collapsed="false">
      <c r="B99" s="20"/>
      <c r="L99" s="20"/>
      <c r="M99" s="20"/>
    </row>
    <row r="100" customFormat="false" ht="15" hidden="false" customHeight="false" outlineLevel="0" collapsed="false">
      <c r="B100" s="20"/>
      <c r="L100" s="20"/>
      <c r="M100" s="20"/>
    </row>
    <row r="101" customFormat="false" ht="15" hidden="false" customHeight="false" outlineLevel="0" collapsed="false">
      <c r="B101" s="20"/>
      <c r="L101" s="20"/>
      <c r="M101" s="20"/>
    </row>
    <row r="102" customFormat="false" ht="15" hidden="false" customHeight="false" outlineLevel="0" collapsed="false">
      <c r="B102" s="20"/>
      <c r="L102" s="20"/>
      <c r="M102" s="20"/>
    </row>
    <row r="103" customFormat="false" ht="15" hidden="false" customHeight="false" outlineLevel="0" collapsed="false">
      <c r="B103" s="20"/>
      <c r="L103" s="20"/>
      <c r="M103" s="20"/>
    </row>
    <row r="104" customFormat="false" ht="15" hidden="false" customHeight="false" outlineLevel="0" collapsed="false">
      <c r="B104" s="20"/>
      <c r="L104" s="20"/>
      <c r="M104" s="20"/>
    </row>
    <row r="105" customFormat="false" ht="15" hidden="false" customHeight="false" outlineLevel="0" collapsed="false">
      <c r="B105" s="20"/>
      <c r="L105" s="20"/>
      <c r="M105" s="20"/>
    </row>
    <row r="106" customFormat="false" ht="15" hidden="false" customHeight="false" outlineLevel="0" collapsed="false">
      <c r="B106" s="20"/>
      <c r="L106" s="20"/>
      <c r="M106" s="20"/>
    </row>
    <row r="107" customFormat="false" ht="15" hidden="false" customHeight="false" outlineLevel="0" collapsed="false">
      <c r="B107" s="20"/>
      <c r="L107" s="20"/>
      <c r="M107" s="20"/>
    </row>
    <row r="108" customFormat="false" ht="15" hidden="false" customHeight="false" outlineLevel="0" collapsed="false">
      <c r="B108" s="20"/>
      <c r="L108" s="20"/>
      <c r="M108" s="20"/>
    </row>
    <row r="109" customFormat="false" ht="15" hidden="false" customHeight="false" outlineLevel="0" collapsed="false">
      <c r="B109" s="20"/>
      <c r="L109" s="20"/>
      <c r="M109" s="20"/>
    </row>
    <row r="110" customFormat="false" ht="15" hidden="false" customHeight="false" outlineLevel="0" collapsed="false">
      <c r="B110" s="20"/>
      <c r="L110" s="20"/>
      <c r="M110" s="20"/>
    </row>
    <row r="111" customFormat="false" ht="15" hidden="false" customHeight="false" outlineLevel="0" collapsed="false">
      <c r="B111" s="20"/>
      <c r="L111" s="20"/>
      <c r="M111" s="20"/>
    </row>
    <row r="112" customFormat="false" ht="15" hidden="false" customHeight="false" outlineLevel="0" collapsed="false">
      <c r="B112" s="20"/>
      <c r="L112" s="20"/>
      <c r="M112" s="20"/>
    </row>
    <row r="113" customFormat="false" ht="15" hidden="false" customHeight="false" outlineLevel="0" collapsed="false">
      <c r="B113" s="20"/>
      <c r="L113" s="20"/>
      <c r="M113" s="20"/>
    </row>
    <row r="114" customFormat="false" ht="15" hidden="false" customHeight="false" outlineLevel="0" collapsed="false">
      <c r="B114" s="20"/>
      <c r="L114" s="20"/>
      <c r="M114" s="20"/>
    </row>
    <row r="115" customFormat="false" ht="15" hidden="false" customHeight="false" outlineLevel="0" collapsed="false">
      <c r="B115" s="20"/>
      <c r="L115" s="20"/>
      <c r="M115" s="20"/>
    </row>
    <row r="116" customFormat="false" ht="15" hidden="false" customHeight="false" outlineLevel="0" collapsed="false">
      <c r="B116" s="20"/>
      <c r="L116" s="20"/>
      <c r="M116" s="20"/>
    </row>
    <row r="117" customFormat="false" ht="15" hidden="false" customHeight="false" outlineLevel="0" collapsed="false">
      <c r="B117" s="20"/>
      <c r="L117" s="20"/>
      <c r="M117" s="20"/>
    </row>
    <row r="118" customFormat="false" ht="15" hidden="false" customHeight="false" outlineLevel="0" collapsed="false">
      <c r="B118" s="20"/>
      <c r="L118" s="20"/>
      <c r="M118" s="20"/>
    </row>
    <row r="119" customFormat="false" ht="15" hidden="false" customHeight="false" outlineLevel="0" collapsed="false">
      <c r="B119" s="20"/>
      <c r="L119" s="20"/>
      <c r="M119" s="20"/>
    </row>
    <row r="120" customFormat="false" ht="15" hidden="false" customHeight="false" outlineLevel="0" collapsed="false">
      <c r="B120" s="20"/>
      <c r="L120" s="20"/>
      <c r="M120" s="20"/>
    </row>
    <row r="121" customFormat="false" ht="15" hidden="false" customHeight="false" outlineLevel="0" collapsed="false">
      <c r="B121" s="20"/>
      <c r="L121" s="20"/>
      <c r="M121" s="20"/>
    </row>
    <row r="122" customFormat="false" ht="15" hidden="false" customHeight="false" outlineLevel="0" collapsed="false">
      <c r="B122" s="20"/>
      <c r="L122" s="20"/>
      <c r="M122" s="20"/>
    </row>
    <row r="123" customFormat="false" ht="15" hidden="false" customHeight="false" outlineLevel="0" collapsed="false">
      <c r="B123" s="20"/>
      <c r="L123" s="20"/>
      <c r="M123" s="20"/>
    </row>
    <row r="124" customFormat="false" ht="15" hidden="false" customHeight="false" outlineLevel="0" collapsed="false">
      <c r="B124" s="20"/>
      <c r="L124" s="20"/>
      <c r="M124" s="20"/>
    </row>
    <row r="125" customFormat="false" ht="15" hidden="false" customHeight="false" outlineLevel="0" collapsed="false">
      <c r="B125" s="20"/>
      <c r="L125" s="20"/>
      <c r="M125" s="20"/>
    </row>
    <row r="126" customFormat="false" ht="15" hidden="false" customHeight="false" outlineLevel="0" collapsed="false">
      <c r="B126" s="20"/>
      <c r="L126" s="20"/>
      <c r="M126" s="20"/>
    </row>
    <row r="127" customFormat="false" ht="15" hidden="false" customHeight="false" outlineLevel="0" collapsed="false">
      <c r="B127" s="20"/>
      <c r="L127" s="20"/>
      <c r="M127" s="20"/>
    </row>
    <row r="128" customFormat="false" ht="15" hidden="false" customHeight="false" outlineLevel="0" collapsed="false">
      <c r="B128" s="20"/>
      <c r="L128" s="20"/>
      <c r="M128" s="20"/>
    </row>
    <row r="129" customFormat="false" ht="15" hidden="false" customHeight="false" outlineLevel="0" collapsed="false">
      <c r="B129" s="20"/>
      <c r="L129" s="20"/>
      <c r="M129" s="20"/>
    </row>
    <row r="130" customFormat="false" ht="15" hidden="false" customHeight="false" outlineLevel="0" collapsed="false">
      <c r="B130" s="20"/>
      <c r="L130" s="20"/>
      <c r="M130" s="20"/>
    </row>
    <row r="131" customFormat="false" ht="15" hidden="false" customHeight="false" outlineLevel="0" collapsed="false">
      <c r="B131" s="20"/>
      <c r="L131" s="20"/>
      <c r="M131" s="20"/>
    </row>
    <row r="132" customFormat="false" ht="15" hidden="false" customHeight="false" outlineLevel="0" collapsed="false">
      <c r="B132" s="20"/>
      <c r="L132" s="20"/>
      <c r="M132" s="20"/>
    </row>
    <row r="133" customFormat="false" ht="15" hidden="false" customHeight="false" outlineLevel="0" collapsed="false">
      <c r="B133" s="20"/>
      <c r="L133" s="20"/>
      <c r="M133" s="20"/>
    </row>
    <row r="134" customFormat="false" ht="15" hidden="false" customHeight="false" outlineLevel="0" collapsed="false">
      <c r="B134" s="20"/>
      <c r="L134" s="20"/>
      <c r="M134" s="20"/>
    </row>
    <row r="135" customFormat="false" ht="15" hidden="false" customHeight="false" outlineLevel="0" collapsed="false">
      <c r="B135" s="20"/>
      <c r="L135" s="20"/>
      <c r="M135" s="20"/>
    </row>
    <row r="136" customFormat="false" ht="15" hidden="false" customHeight="false" outlineLevel="0" collapsed="false">
      <c r="B136" s="20"/>
      <c r="L136" s="20"/>
      <c r="M136" s="20"/>
    </row>
    <row r="137" customFormat="false" ht="15" hidden="false" customHeight="false" outlineLevel="0" collapsed="false">
      <c r="B137" s="20"/>
      <c r="L137" s="20"/>
      <c r="M137" s="20"/>
    </row>
    <row r="138" customFormat="false" ht="15" hidden="false" customHeight="false" outlineLevel="0" collapsed="false">
      <c r="B138" s="20"/>
      <c r="L138" s="20"/>
      <c r="M138" s="20"/>
    </row>
    <row r="139" customFormat="false" ht="15" hidden="false" customHeight="false" outlineLevel="0" collapsed="false">
      <c r="B139" s="20"/>
      <c r="L139" s="20"/>
      <c r="M139" s="20"/>
    </row>
    <row r="140" customFormat="false" ht="15" hidden="false" customHeight="false" outlineLevel="0" collapsed="false">
      <c r="B140" s="20"/>
      <c r="L140" s="20"/>
      <c r="M140" s="20"/>
    </row>
    <row r="141" customFormat="false" ht="15" hidden="false" customHeight="false" outlineLevel="0" collapsed="false">
      <c r="B141" s="20"/>
      <c r="L141" s="20"/>
      <c r="M141" s="20"/>
    </row>
    <row r="142" customFormat="false" ht="15" hidden="false" customHeight="false" outlineLevel="0" collapsed="false">
      <c r="B142" s="20"/>
      <c r="L142" s="20"/>
      <c r="M142" s="20"/>
    </row>
    <row r="143" customFormat="false" ht="15" hidden="false" customHeight="false" outlineLevel="0" collapsed="false">
      <c r="B143" s="20"/>
      <c r="L143" s="20"/>
      <c r="M143" s="20"/>
    </row>
    <row r="144" customFormat="false" ht="15" hidden="false" customHeight="false" outlineLevel="0" collapsed="false">
      <c r="B144" s="20"/>
      <c r="L144" s="20"/>
      <c r="M144" s="20"/>
    </row>
    <row r="145" customFormat="false" ht="15" hidden="false" customHeight="false" outlineLevel="0" collapsed="false">
      <c r="B145" s="20"/>
      <c r="L145" s="20"/>
      <c r="M145" s="20"/>
    </row>
    <row r="146" customFormat="false" ht="15" hidden="false" customHeight="false" outlineLevel="0" collapsed="false">
      <c r="B146" s="20"/>
      <c r="L146" s="20"/>
      <c r="M146" s="20"/>
    </row>
    <row r="147" customFormat="false" ht="15" hidden="false" customHeight="false" outlineLevel="0" collapsed="false">
      <c r="B147" s="20"/>
      <c r="L147" s="20"/>
      <c r="M147" s="20"/>
    </row>
    <row r="148" customFormat="false" ht="15" hidden="false" customHeight="false" outlineLevel="0" collapsed="false">
      <c r="B148" s="20"/>
      <c r="L148" s="20"/>
      <c r="M148" s="20"/>
    </row>
    <row r="149" customFormat="false" ht="15" hidden="false" customHeight="false" outlineLevel="0" collapsed="false">
      <c r="B149" s="20"/>
      <c r="L149" s="20"/>
      <c r="M149" s="20"/>
    </row>
    <row r="150" customFormat="false" ht="15" hidden="false" customHeight="false" outlineLevel="0" collapsed="false">
      <c r="B150" s="20"/>
      <c r="L150" s="20"/>
      <c r="M150" s="20"/>
    </row>
    <row r="151" customFormat="false" ht="15" hidden="false" customHeight="false" outlineLevel="0" collapsed="false">
      <c r="B151" s="20"/>
      <c r="L151" s="20"/>
      <c r="M151" s="20"/>
    </row>
    <row r="152" customFormat="false" ht="15" hidden="false" customHeight="false" outlineLevel="0" collapsed="false">
      <c r="B152" s="20"/>
      <c r="L152" s="20"/>
      <c r="M152" s="20"/>
    </row>
    <row r="153" customFormat="false" ht="15" hidden="false" customHeight="false" outlineLevel="0" collapsed="false">
      <c r="B153" s="20"/>
      <c r="L153" s="20"/>
      <c r="M153" s="20"/>
    </row>
    <row r="154" customFormat="false" ht="15" hidden="false" customHeight="false" outlineLevel="0" collapsed="false">
      <c r="B154" s="20"/>
      <c r="L154" s="20"/>
      <c r="M154" s="20"/>
    </row>
    <row r="155" customFormat="false" ht="15" hidden="false" customHeight="false" outlineLevel="0" collapsed="false">
      <c r="B155" s="20"/>
      <c r="L155" s="20"/>
      <c r="M155" s="20"/>
    </row>
    <row r="156" customFormat="false" ht="15" hidden="false" customHeight="false" outlineLevel="0" collapsed="false">
      <c r="B156" s="20"/>
      <c r="L156" s="20"/>
      <c r="M156" s="20"/>
    </row>
    <row r="157" customFormat="false" ht="15" hidden="false" customHeight="false" outlineLevel="0" collapsed="false">
      <c r="B157" s="20"/>
      <c r="L157" s="20"/>
      <c r="M157" s="20"/>
    </row>
    <row r="158" customFormat="false" ht="15" hidden="false" customHeight="false" outlineLevel="0" collapsed="false">
      <c r="B158" s="20"/>
      <c r="L158" s="20"/>
      <c r="M158" s="20"/>
    </row>
    <row r="159" customFormat="false" ht="15" hidden="false" customHeight="false" outlineLevel="0" collapsed="false">
      <c r="B159" s="20"/>
      <c r="L159" s="20"/>
      <c r="M159" s="20"/>
    </row>
    <row r="160" customFormat="false" ht="15" hidden="false" customHeight="false" outlineLevel="0" collapsed="false">
      <c r="B160" s="20"/>
      <c r="L160" s="20"/>
      <c r="M160" s="20"/>
    </row>
    <row r="161" customFormat="false" ht="15" hidden="false" customHeight="false" outlineLevel="0" collapsed="false">
      <c r="B161" s="20"/>
      <c r="L161" s="20"/>
      <c r="M161" s="20"/>
    </row>
    <row r="162" customFormat="false" ht="15" hidden="false" customHeight="false" outlineLevel="0" collapsed="false">
      <c r="B162" s="20"/>
      <c r="L162" s="20"/>
      <c r="M162" s="20"/>
    </row>
    <row r="163" customFormat="false" ht="15" hidden="false" customHeight="false" outlineLevel="0" collapsed="false">
      <c r="B163" s="20"/>
      <c r="L163" s="20"/>
      <c r="M163" s="20"/>
    </row>
    <row r="164" customFormat="false" ht="15" hidden="false" customHeight="false" outlineLevel="0" collapsed="false">
      <c r="B164" s="20"/>
      <c r="L164" s="20"/>
      <c r="M164" s="20"/>
    </row>
    <row r="165" customFormat="false" ht="15" hidden="false" customHeight="false" outlineLevel="0" collapsed="false">
      <c r="B165" s="20"/>
      <c r="L165" s="20"/>
      <c r="M165" s="20"/>
    </row>
    <row r="166" customFormat="false" ht="15" hidden="false" customHeight="false" outlineLevel="0" collapsed="false">
      <c r="B166" s="20"/>
      <c r="L166" s="20"/>
      <c r="M166" s="20"/>
    </row>
    <row r="167" customFormat="false" ht="15" hidden="false" customHeight="false" outlineLevel="0" collapsed="false">
      <c r="B167" s="20"/>
      <c r="L167" s="20"/>
      <c r="M167" s="20"/>
    </row>
    <row r="168" customFormat="false" ht="15" hidden="false" customHeight="false" outlineLevel="0" collapsed="false">
      <c r="B168" s="20"/>
      <c r="L168" s="20"/>
      <c r="M168" s="20"/>
    </row>
    <row r="169" customFormat="false" ht="15" hidden="false" customHeight="false" outlineLevel="0" collapsed="false">
      <c r="B169" s="20"/>
      <c r="L169" s="20"/>
      <c r="M169" s="20"/>
    </row>
    <row r="170" customFormat="false" ht="15" hidden="false" customHeight="false" outlineLevel="0" collapsed="false">
      <c r="B170" s="20"/>
      <c r="L170" s="20"/>
      <c r="M170" s="20"/>
    </row>
    <row r="171" customFormat="false" ht="15" hidden="false" customHeight="false" outlineLevel="0" collapsed="false">
      <c r="B171" s="20"/>
      <c r="L171" s="20"/>
      <c r="M171" s="20"/>
    </row>
    <row r="172" customFormat="false" ht="15" hidden="false" customHeight="false" outlineLevel="0" collapsed="false">
      <c r="B172" s="20"/>
      <c r="L172" s="20"/>
      <c r="M172" s="20"/>
    </row>
    <row r="173" customFormat="false" ht="15" hidden="false" customHeight="false" outlineLevel="0" collapsed="false">
      <c r="B173" s="20"/>
      <c r="L173" s="20"/>
      <c r="M173" s="20"/>
    </row>
    <row r="174" customFormat="false" ht="15" hidden="false" customHeight="false" outlineLevel="0" collapsed="false">
      <c r="B174" s="20"/>
      <c r="L174" s="20"/>
      <c r="M174" s="20"/>
    </row>
    <row r="175" customFormat="false" ht="15" hidden="false" customHeight="false" outlineLevel="0" collapsed="false">
      <c r="B175" s="20"/>
      <c r="L175" s="20"/>
      <c r="M175" s="20"/>
    </row>
    <row r="176" customFormat="false" ht="15" hidden="false" customHeight="false" outlineLevel="0" collapsed="false">
      <c r="B176" s="20"/>
      <c r="L176" s="20"/>
      <c r="M176" s="20"/>
    </row>
    <row r="177" customFormat="false" ht="15" hidden="false" customHeight="false" outlineLevel="0" collapsed="false">
      <c r="B177" s="20"/>
      <c r="L177" s="20"/>
      <c r="M177" s="20"/>
    </row>
    <row r="178" customFormat="false" ht="15" hidden="false" customHeight="false" outlineLevel="0" collapsed="false">
      <c r="B178" s="20"/>
      <c r="L178" s="20"/>
      <c r="M178" s="20"/>
    </row>
    <row r="179" customFormat="false" ht="15" hidden="false" customHeight="false" outlineLevel="0" collapsed="false">
      <c r="B179" s="20"/>
      <c r="L179" s="20"/>
      <c r="M179" s="20"/>
    </row>
    <row r="180" customFormat="false" ht="15" hidden="false" customHeight="false" outlineLevel="0" collapsed="false">
      <c r="B180" s="20"/>
      <c r="L180" s="20"/>
      <c r="M180" s="20"/>
    </row>
    <row r="181" customFormat="false" ht="15" hidden="false" customHeight="false" outlineLevel="0" collapsed="false">
      <c r="B181" s="20"/>
      <c r="L181" s="20"/>
      <c r="M181" s="20"/>
    </row>
    <row r="182" customFormat="false" ht="15" hidden="false" customHeight="false" outlineLevel="0" collapsed="false">
      <c r="B182" s="20"/>
      <c r="L182" s="20"/>
      <c r="M182" s="20"/>
    </row>
    <row r="183" customFormat="false" ht="15" hidden="false" customHeight="false" outlineLevel="0" collapsed="false">
      <c r="B183" s="20"/>
      <c r="L183" s="20"/>
      <c r="M183" s="20"/>
    </row>
    <row r="184" customFormat="false" ht="15" hidden="false" customHeight="false" outlineLevel="0" collapsed="false">
      <c r="B184" s="20"/>
      <c r="L184" s="20"/>
      <c r="M184" s="20"/>
    </row>
    <row r="185" customFormat="false" ht="15" hidden="false" customHeight="false" outlineLevel="0" collapsed="false">
      <c r="B185" s="20"/>
      <c r="L185" s="20"/>
      <c r="M185" s="20"/>
    </row>
    <row r="186" customFormat="false" ht="15" hidden="false" customHeight="false" outlineLevel="0" collapsed="false">
      <c r="B186" s="20"/>
      <c r="L186" s="20"/>
      <c r="M186" s="20"/>
    </row>
    <row r="187" customFormat="false" ht="15" hidden="false" customHeight="false" outlineLevel="0" collapsed="false">
      <c r="B187" s="20"/>
      <c r="L187" s="20"/>
      <c r="M187" s="20"/>
    </row>
    <row r="188" customFormat="false" ht="15" hidden="false" customHeight="false" outlineLevel="0" collapsed="false">
      <c r="B188" s="20"/>
      <c r="L188" s="20"/>
      <c r="M188" s="20"/>
    </row>
    <row r="189" customFormat="false" ht="15" hidden="false" customHeight="false" outlineLevel="0" collapsed="false">
      <c r="B189" s="20"/>
      <c r="L189" s="20"/>
      <c r="M189" s="20"/>
    </row>
    <row r="190" customFormat="false" ht="15" hidden="false" customHeight="false" outlineLevel="0" collapsed="false">
      <c r="B190" s="20"/>
      <c r="L190" s="20"/>
      <c r="M190" s="20"/>
    </row>
    <row r="191" customFormat="false" ht="15" hidden="false" customHeight="false" outlineLevel="0" collapsed="false">
      <c r="B191" s="20"/>
      <c r="L191" s="20"/>
      <c r="M191" s="20"/>
    </row>
    <row r="192" customFormat="false" ht="15" hidden="false" customHeight="false" outlineLevel="0" collapsed="false">
      <c r="B192" s="20"/>
      <c r="L192" s="20"/>
      <c r="M192" s="20"/>
    </row>
    <row r="193" customFormat="false" ht="15" hidden="false" customHeight="false" outlineLevel="0" collapsed="false">
      <c r="B193" s="20"/>
      <c r="L193" s="20"/>
      <c r="M193" s="20"/>
    </row>
    <row r="194" customFormat="false" ht="15" hidden="false" customHeight="false" outlineLevel="0" collapsed="false">
      <c r="B194" s="20"/>
      <c r="L194" s="20"/>
      <c r="M194" s="20"/>
    </row>
    <row r="195" customFormat="false" ht="15" hidden="false" customHeight="false" outlineLevel="0" collapsed="false">
      <c r="B195" s="20"/>
      <c r="L195" s="20"/>
      <c r="M195" s="20"/>
    </row>
    <row r="196" customFormat="false" ht="15" hidden="false" customHeight="false" outlineLevel="0" collapsed="false">
      <c r="B196" s="20"/>
      <c r="L196" s="20"/>
      <c r="M196" s="20"/>
    </row>
    <row r="197" customFormat="false" ht="15" hidden="false" customHeight="false" outlineLevel="0" collapsed="false">
      <c r="B197" s="20"/>
      <c r="L197" s="20"/>
      <c r="M197" s="20"/>
    </row>
    <row r="198" customFormat="false" ht="15" hidden="false" customHeight="false" outlineLevel="0" collapsed="false">
      <c r="B198" s="20"/>
      <c r="L198" s="20"/>
      <c r="M198" s="20"/>
    </row>
    <row r="199" customFormat="false" ht="15" hidden="false" customHeight="false" outlineLevel="0" collapsed="false">
      <c r="B199" s="20"/>
      <c r="L199" s="20"/>
      <c r="M199" s="20"/>
    </row>
    <row r="200" customFormat="false" ht="15" hidden="false" customHeight="false" outlineLevel="0" collapsed="false">
      <c r="B200" s="20"/>
      <c r="L200" s="20"/>
      <c r="M200" s="20"/>
    </row>
    <row r="201" customFormat="false" ht="15" hidden="false" customHeight="false" outlineLevel="0" collapsed="false">
      <c r="B201" s="20"/>
      <c r="L201" s="20"/>
      <c r="M201" s="20"/>
    </row>
    <row r="202" customFormat="false" ht="15" hidden="false" customHeight="false" outlineLevel="0" collapsed="false">
      <c r="B202" s="20"/>
      <c r="L202" s="20"/>
      <c r="M202" s="20"/>
    </row>
    <row r="203" customFormat="false" ht="15" hidden="false" customHeight="false" outlineLevel="0" collapsed="false">
      <c r="B203" s="20"/>
      <c r="L203" s="20"/>
      <c r="M203" s="20"/>
    </row>
    <row r="204" customFormat="false" ht="15" hidden="false" customHeight="false" outlineLevel="0" collapsed="false">
      <c r="B204" s="20"/>
      <c r="L204" s="20"/>
      <c r="M204" s="20"/>
    </row>
    <row r="205" customFormat="false" ht="15" hidden="false" customHeight="false" outlineLevel="0" collapsed="false">
      <c r="B205" s="20"/>
      <c r="L205" s="20"/>
      <c r="M205" s="20"/>
    </row>
    <row r="206" customFormat="false" ht="15" hidden="false" customHeight="false" outlineLevel="0" collapsed="false">
      <c r="B206" s="20"/>
      <c r="L206" s="20"/>
      <c r="M206" s="20"/>
    </row>
    <row r="207" customFormat="false" ht="15" hidden="false" customHeight="false" outlineLevel="0" collapsed="false">
      <c r="B207" s="20"/>
      <c r="L207" s="20"/>
      <c r="M207" s="20"/>
    </row>
    <row r="208" customFormat="false" ht="15" hidden="false" customHeight="false" outlineLevel="0" collapsed="false">
      <c r="B208" s="20"/>
      <c r="L208" s="20"/>
      <c r="M208" s="20"/>
    </row>
    <row r="209" customFormat="false" ht="15" hidden="false" customHeight="false" outlineLevel="0" collapsed="false">
      <c r="B209" s="20"/>
      <c r="L209" s="20"/>
      <c r="M209" s="20"/>
    </row>
    <row r="210" customFormat="false" ht="15" hidden="false" customHeight="false" outlineLevel="0" collapsed="false">
      <c r="B210" s="20"/>
      <c r="L210" s="20"/>
      <c r="M210" s="20"/>
    </row>
    <row r="211" customFormat="false" ht="15" hidden="false" customHeight="false" outlineLevel="0" collapsed="false">
      <c r="B211" s="20"/>
      <c r="L211" s="20"/>
      <c r="M211" s="20"/>
    </row>
    <row r="212" customFormat="false" ht="15" hidden="false" customHeight="false" outlineLevel="0" collapsed="false">
      <c r="B212" s="20"/>
      <c r="L212" s="20"/>
      <c r="M212" s="20"/>
    </row>
    <row r="213" customFormat="false" ht="15" hidden="false" customHeight="false" outlineLevel="0" collapsed="false">
      <c r="B213" s="20"/>
      <c r="L213" s="20"/>
      <c r="M213" s="20"/>
    </row>
    <row r="214" customFormat="false" ht="15" hidden="false" customHeight="false" outlineLevel="0" collapsed="false">
      <c r="B214" s="20"/>
      <c r="L214" s="20"/>
      <c r="M214" s="20"/>
    </row>
    <row r="215" customFormat="false" ht="15" hidden="false" customHeight="false" outlineLevel="0" collapsed="false">
      <c r="B215" s="20"/>
      <c r="L215" s="20"/>
      <c r="M215" s="20"/>
    </row>
    <row r="216" customFormat="false" ht="15" hidden="false" customHeight="false" outlineLevel="0" collapsed="false">
      <c r="B216" s="20"/>
      <c r="L216" s="20"/>
      <c r="M216" s="20"/>
    </row>
    <row r="217" customFormat="false" ht="15" hidden="false" customHeight="false" outlineLevel="0" collapsed="false">
      <c r="B217" s="20"/>
      <c r="L217" s="20"/>
      <c r="M217" s="20"/>
    </row>
    <row r="218" customFormat="false" ht="15" hidden="false" customHeight="false" outlineLevel="0" collapsed="false">
      <c r="B218" s="20"/>
      <c r="L218" s="20"/>
      <c r="M218" s="20"/>
    </row>
    <row r="219" customFormat="false" ht="15" hidden="false" customHeight="false" outlineLevel="0" collapsed="false">
      <c r="B219" s="20"/>
      <c r="L219" s="20"/>
      <c r="M219" s="20"/>
    </row>
    <row r="220" customFormat="false" ht="15" hidden="false" customHeight="false" outlineLevel="0" collapsed="false">
      <c r="B220" s="20"/>
      <c r="L220" s="20"/>
      <c r="M220" s="20"/>
    </row>
    <row r="221" customFormat="false" ht="15" hidden="false" customHeight="false" outlineLevel="0" collapsed="false">
      <c r="B221" s="20"/>
      <c r="L221" s="20"/>
      <c r="M221" s="20"/>
    </row>
    <row r="222" customFormat="false" ht="15" hidden="false" customHeight="false" outlineLevel="0" collapsed="false">
      <c r="B222" s="20"/>
      <c r="L222" s="20"/>
      <c r="M222" s="20"/>
    </row>
    <row r="223" customFormat="false" ht="15" hidden="false" customHeight="false" outlineLevel="0" collapsed="false">
      <c r="B223" s="20"/>
      <c r="L223" s="20"/>
      <c r="M223" s="20"/>
    </row>
    <row r="224" customFormat="false" ht="15" hidden="false" customHeight="false" outlineLevel="0" collapsed="false">
      <c r="B224" s="20"/>
      <c r="L224" s="20"/>
      <c r="M224" s="20"/>
    </row>
    <row r="225" customFormat="false" ht="15" hidden="false" customHeight="false" outlineLevel="0" collapsed="false">
      <c r="B225" s="20"/>
      <c r="L225" s="20"/>
      <c r="M225" s="20"/>
    </row>
    <row r="226" customFormat="false" ht="15" hidden="false" customHeight="false" outlineLevel="0" collapsed="false">
      <c r="B226" s="20"/>
      <c r="L226" s="20"/>
      <c r="M226" s="20"/>
    </row>
    <row r="227" customFormat="false" ht="15" hidden="false" customHeight="false" outlineLevel="0" collapsed="false">
      <c r="B227" s="20"/>
      <c r="L227" s="20"/>
      <c r="M227" s="20"/>
    </row>
    <row r="228" customFormat="false" ht="15" hidden="false" customHeight="false" outlineLevel="0" collapsed="false">
      <c r="B228" s="20"/>
      <c r="L228" s="20"/>
      <c r="M228" s="20"/>
    </row>
    <row r="229" customFormat="false" ht="15" hidden="false" customHeight="false" outlineLevel="0" collapsed="false">
      <c r="B229" s="20"/>
      <c r="L229" s="20"/>
      <c r="M229" s="20"/>
    </row>
    <row r="230" customFormat="false" ht="15" hidden="false" customHeight="false" outlineLevel="0" collapsed="false">
      <c r="B230" s="20"/>
      <c r="L230" s="20"/>
      <c r="M230" s="20"/>
    </row>
    <row r="231" customFormat="false" ht="15" hidden="false" customHeight="false" outlineLevel="0" collapsed="false">
      <c r="B231" s="20"/>
      <c r="L231" s="20"/>
      <c r="M231" s="20"/>
    </row>
    <row r="232" customFormat="false" ht="15" hidden="false" customHeight="false" outlineLevel="0" collapsed="false">
      <c r="B232" s="20"/>
      <c r="L232" s="20"/>
      <c r="M232" s="20"/>
    </row>
    <row r="233" customFormat="false" ht="15" hidden="false" customHeight="false" outlineLevel="0" collapsed="false">
      <c r="B233" s="20"/>
      <c r="L233" s="20"/>
      <c r="M233" s="20"/>
    </row>
    <row r="234" customFormat="false" ht="15" hidden="false" customHeight="false" outlineLevel="0" collapsed="false">
      <c r="B234" s="20"/>
      <c r="L234" s="20"/>
      <c r="M234" s="20"/>
    </row>
    <row r="235" customFormat="false" ht="15" hidden="false" customHeight="false" outlineLevel="0" collapsed="false">
      <c r="B235" s="20"/>
      <c r="L235" s="20"/>
      <c r="M235" s="20"/>
    </row>
    <row r="236" customFormat="false" ht="15" hidden="false" customHeight="false" outlineLevel="0" collapsed="false">
      <c r="B236" s="20"/>
      <c r="L236" s="20"/>
      <c r="M236" s="20"/>
    </row>
    <row r="237" customFormat="false" ht="15" hidden="false" customHeight="false" outlineLevel="0" collapsed="false">
      <c r="B237" s="20"/>
      <c r="L237" s="20"/>
      <c r="M237" s="20"/>
    </row>
    <row r="238" customFormat="false" ht="15" hidden="false" customHeight="false" outlineLevel="0" collapsed="false">
      <c r="B238" s="20"/>
      <c r="L238" s="20"/>
      <c r="M238" s="20"/>
    </row>
    <row r="239" customFormat="false" ht="15" hidden="false" customHeight="false" outlineLevel="0" collapsed="false">
      <c r="B239" s="20"/>
      <c r="L239" s="20"/>
      <c r="M239" s="20"/>
    </row>
    <row r="240" customFormat="false" ht="15" hidden="false" customHeight="false" outlineLevel="0" collapsed="false">
      <c r="B240" s="20"/>
      <c r="L240" s="20"/>
      <c r="M240" s="20"/>
    </row>
    <row r="241" customFormat="false" ht="15" hidden="false" customHeight="false" outlineLevel="0" collapsed="false">
      <c r="B241" s="20"/>
      <c r="L241" s="20"/>
      <c r="M241" s="20"/>
    </row>
    <row r="242" customFormat="false" ht="15" hidden="false" customHeight="false" outlineLevel="0" collapsed="false">
      <c r="B242" s="20"/>
      <c r="L242" s="20"/>
      <c r="M242" s="20"/>
    </row>
    <row r="243" customFormat="false" ht="15" hidden="false" customHeight="false" outlineLevel="0" collapsed="false">
      <c r="B243" s="20"/>
      <c r="L243" s="20"/>
      <c r="M243" s="20"/>
    </row>
    <row r="244" customFormat="false" ht="15" hidden="false" customHeight="false" outlineLevel="0" collapsed="false">
      <c r="B244" s="20"/>
      <c r="L244" s="20"/>
      <c r="M244" s="20"/>
    </row>
    <row r="245" customFormat="false" ht="15" hidden="false" customHeight="false" outlineLevel="0" collapsed="false">
      <c r="B245" s="20"/>
      <c r="L245" s="20"/>
      <c r="M245" s="20"/>
    </row>
    <row r="246" customFormat="false" ht="15" hidden="false" customHeight="false" outlineLevel="0" collapsed="false">
      <c r="B246" s="20"/>
      <c r="L246" s="20"/>
      <c r="M246" s="20"/>
    </row>
    <row r="247" customFormat="false" ht="15" hidden="false" customHeight="false" outlineLevel="0" collapsed="false">
      <c r="B247" s="20"/>
      <c r="L247" s="20"/>
      <c r="M247" s="20"/>
    </row>
    <row r="248" customFormat="false" ht="15" hidden="false" customHeight="false" outlineLevel="0" collapsed="false">
      <c r="B248" s="20"/>
      <c r="L248" s="20"/>
      <c r="M248" s="20"/>
    </row>
    <row r="249" customFormat="false" ht="15" hidden="false" customHeight="false" outlineLevel="0" collapsed="false">
      <c r="B249" s="20"/>
      <c r="L249" s="20"/>
      <c r="M249" s="20"/>
    </row>
    <row r="250" customFormat="false" ht="15" hidden="false" customHeight="false" outlineLevel="0" collapsed="false">
      <c r="B250" s="20"/>
      <c r="L250" s="20"/>
      <c r="M250" s="20"/>
    </row>
    <row r="251" customFormat="false" ht="15" hidden="false" customHeight="false" outlineLevel="0" collapsed="false">
      <c r="B251" s="20"/>
      <c r="L251" s="20"/>
      <c r="M251" s="20"/>
    </row>
    <row r="252" customFormat="false" ht="15" hidden="false" customHeight="false" outlineLevel="0" collapsed="false">
      <c r="B252" s="20"/>
      <c r="L252" s="20"/>
      <c r="M252" s="20"/>
    </row>
    <row r="253" customFormat="false" ht="15" hidden="false" customHeight="false" outlineLevel="0" collapsed="false">
      <c r="B253" s="20"/>
      <c r="L253" s="20"/>
      <c r="M253" s="20"/>
    </row>
    <row r="254" customFormat="false" ht="15" hidden="false" customHeight="false" outlineLevel="0" collapsed="false">
      <c r="B254" s="20"/>
      <c r="L254" s="20"/>
      <c r="M254" s="20"/>
    </row>
    <row r="255" customFormat="false" ht="15" hidden="false" customHeight="false" outlineLevel="0" collapsed="false">
      <c r="B255" s="20"/>
      <c r="L255" s="20"/>
      <c r="M255" s="20"/>
    </row>
    <row r="256" customFormat="false" ht="15" hidden="false" customHeight="false" outlineLevel="0" collapsed="false">
      <c r="B256" s="20"/>
      <c r="L256" s="20"/>
      <c r="M256" s="20"/>
    </row>
    <row r="257" customFormat="false" ht="15" hidden="false" customHeight="false" outlineLevel="0" collapsed="false">
      <c r="B257" s="20"/>
      <c r="L257" s="20"/>
      <c r="M257" s="20"/>
    </row>
    <row r="258" customFormat="false" ht="15" hidden="false" customHeight="false" outlineLevel="0" collapsed="false">
      <c r="B258" s="20"/>
      <c r="L258" s="20"/>
      <c r="M258" s="20"/>
    </row>
    <row r="259" customFormat="false" ht="15" hidden="false" customHeight="false" outlineLevel="0" collapsed="false">
      <c r="B259" s="20"/>
      <c r="L259" s="20"/>
      <c r="M259" s="20"/>
    </row>
    <row r="260" customFormat="false" ht="15" hidden="false" customHeight="false" outlineLevel="0" collapsed="false">
      <c r="B260" s="20"/>
      <c r="L260" s="20"/>
      <c r="M260" s="20"/>
    </row>
    <row r="261" customFormat="false" ht="15" hidden="false" customHeight="false" outlineLevel="0" collapsed="false">
      <c r="B261" s="20"/>
      <c r="L261" s="20"/>
      <c r="M261" s="20"/>
    </row>
    <row r="262" customFormat="false" ht="15" hidden="false" customHeight="false" outlineLevel="0" collapsed="false">
      <c r="B262" s="20"/>
      <c r="L262" s="20"/>
      <c r="M262" s="20"/>
    </row>
    <row r="263" customFormat="false" ht="15" hidden="false" customHeight="false" outlineLevel="0" collapsed="false">
      <c r="B263" s="20"/>
      <c r="L263" s="20"/>
      <c r="M263" s="20"/>
    </row>
    <row r="264" customFormat="false" ht="15" hidden="false" customHeight="false" outlineLevel="0" collapsed="false">
      <c r="B264" s="20"/>
      <c r="L264" s="20"/>
      <c r="M264" s="20"/>
    </row>
    <row r="265" customFormat="false" ht="15" hidden="false" customHeight="false" outlineLevel="0" collapsed="false">
      <c r="B265" s="20"/>
      <c r="L265" s="20"/>
      <c r="M265" s="20"/>
    </row>
    <row r="266" customFormat="false" ht="15" hidden="false" customHeight="false" outlineLevel="0" collapsed="false">
      <c r="B266" s="20"/>
      <c r="L266" s="20"/>
      <c r="M266" s="20"/>
    </row>
    <row r="267" customFormat="false" ht="15" hidden="false" customHeight="false" outlineLevel="0" collapsed="false">
      <c r="B267" s="20"/>
      <c r="L267" s="20"/>
      <c r="M267" s="20"/>
    </row>
    <row r="268" customFormat="false" ht="15" hidden="false" customHeight="false" outlineLevel="0" collapsed="false">
      <c r="B268" s="20"/>
      <c r="L268" s="20"/>
      <c r="M268" s="20"/>
    </row>
    <row r="269" customFormat="false" ht="15" hidden="false" customHeight="false" outlineLevel="0" collapsed="false">
      <c r="B269" s="20"/>
      <c r="L269" s="20"/>
      <c r="M269" s="20"/>
    </row>
    <row r="270" customFormat="false" ht="15" hidden="false" customHeight="false" outlineLevel="0" collapsed="false">
      <c r="B270" s="20"/>
      <c r="L270" s="20"/>
      <c r="M270" s="20"/>
    </row>
    <row r="271" customFormat="false" ht="15" hidden="false" customHeight="false" outlineLevel="0" collapsed="false">
      <c r="B271" s="20"/>
      <c r="L271" s="20"/>
      <c r="M271" s="20"/>
    </row>
    <row r="272" customFormat="false" ht="15" hidden="false" customHeight="false" outlineLevel="0" collapsed="false">
      <c r="B272" s="20"/>
      <c r="L272" s="20"/>
      <c r="M272" s="20"/>
    </row>
    <row r="273" customFormat="false" ht="15" hidden="false" customHeight="false" outlineLevel="0" collapsed="false">
      <c r="B273" s="20"/>
      <c r="L273" s="20"/>
      <c r="M273" s="20"/>
    </row>
    <row r="274" customFormat="false" ht="15" hidden="false" customHeight="false" outlineLevel="0" collapsed="false">
      <c r="B274" s="20"/>
      <c r="L274" s="20"/>
      <c r="M274" s="20"/>
    </row>
    <row r="275" customFormat="false" ht="15" hidden="false" customHeight="false" outlineLevel="0" collapsed="false">
      <c r="B275" s="20"/>
      <c r="L275" s="20"/>
      <c r="M275" s="20"/>
    </row>
    <row r="276" customFormat="false" ht="15" hidden="false" customHeight="false" outlineLevel="0" collapsed="false">
      <c r="B276" s="20"/>
      <c r="L276" s="20"/>
      <c r="M276" s="20"/>
    </row>
    <row r="277" customFormat="false" ht="15" hidden="false" customHeight="false" outlineLevel="0" collapsed="false">
      <c r="B277" s="20"/>
      <c r="L277" s="20"/>
      <c r="M277" s="20"/>
    </row>
    <row r="278" customFormat="false" ht="15" hidden="false" customHeight="false" outlineLevel="0" collapsed="false">
      <c r="B278" s="20"/>
      <c r="L278" s="20"/>
      <c r="M278" s="20"/>
    </row>
    <row r="279" customFormat="false" ht="15" hidden="false" customHeight="false" outlineLevel="0" collapsed="false">
      <c r="B279" s="20"/>
      <c r="L279" s="20"/>
      <c r="M279" s="20"/>
    </row>
    <row r="280" customFormat="false" ht="15" hidden="false" customHeight="false" outlineLevel="0" collapsed="false">
      <c r="B280" s="20"/>
      <c r="L280" s="20"/>
      <c r="M280" s="20"/>
    </row>
    <row r="281" customFormat="false" ht="15" hidden="false" customHeight="false" outlineLevel="0" collapsed="false">
      <c r="B281" s="20"/>
      <c r="L281" s="20"/>
      <c r="M281" s="20"/>
    </row>
    <row r="282" customFormat="false" ht="15" hidden="false" customHeight="false" outlineLevel="0" collapsed="false">
      <c r="B282" s="20"/>
      <c r="L282" s="20"/>
      <c r="M282" s="20"/>
    </row>
    <row r="283" customFormat="false" ht="15" hidden="false" customHeight="false" outlineLevel="0" collapsed="false">
      <c r="B283" s="20"/>
      <c r="L283" s="20"/>
      <c r="M283" s="20"/>
    </row>
    <row r="284" customFormat="false" ht="15" hidden="false" customHeight="false" outlineLevel="0" collapsed="false">
      <c r="B284" s="20"/>
      <c r="L284" s="20"/>
      <c r="M284" s="20"/>
    </row>
    <row r="285" customFormat="false" ht="15" hidden="false" customHeight="false" outlineLevel="0" collapsed="false">
      <c r="B285" s="20"/>
      <c r="L285" s="20"/>
      <c r="M285" s="20"/>
    </row>
    <row r="286" customFormat="false" ht="15" hidden="false" customHeight="false" outlineLevel="0" collapsed="false">
      <c r="B286" s="20"/>
      <c r="L286" s="20"/>
      <c r="M286" s="20"/>
    </row>
    <row r="287" customFormat="false" ht="15" hidden="false" customHeight="false" outlineLevel="0" collapsed="false">
      <c r="B287" s="20"/>
      <c r="L287" s="20"/>
      <c r="M287" s="20"/>
    </row>
    <row r="288" customFormat="false" ht="15" hidden="false" customHeight="false" outlineLevel="0" collapsed="false">
      <c r="B288" s="20"/>
      <c r="L288" s="20"/>
      <c r="M288" s="20"/>
    </row>
    <row r="289" customFormat="false" ht="15" hidden="false" customHeight="false" outlineLevel="0" collapsed="false">
      <c r="B289" s="20"/>
      <c r="L289" s="20"/>
      <c r="M289" s="20"/>
    </row>
    <row r="290" customFormat="false" ht="15" hidden="false" customHeight="false" outlineLevel="0" collapsed="false">
      <c r="B290" s="20"/>
      <c r="L290" s="20"/>
      <c r="M290" s="20"/>
    </row>
    <row r="291" customFormat="false" ht="15" hidden="false" customHeight="false" outlineLevel="0" collapsed="false">
      <c r="B291" s="20"/>
      <c r="L291" s="20"/>
      <c r="M291" s="20"/>
    </row>
    <row r="292" customFormat="false" ht="15" hidden="false" customHeight="false" outlineLevel="0" collapsed="false">
      <c r="B292" s="20"/>
      <c r="L292" s="20"/>
      <c r="M292" s="20"/>
    </row>
    <row r="293" customFormat="false" ht="15" hidden="false" customHeight="false" outlineLevel="0" collapsed="false">
      <c r="B293" s="20"/>
      <c r="L293" s="20"/>
      <c r="M293" s="20"/>
    </row>
    <row r="294" customFormat="false" ht="15" hidden="false" customHeight="false" outlineLevel="0" collapsed="false">
      <c r="B294" s="20"/>
      <c r="L294" s="20"/>
      <c r="M294" s="20"/>
    </row>
    <row r="295" customFormat="false" ht="15" hidden="false" customHeight="false" outlineLevel="0" collapsed="false">
      <c r="B295" s="20"/>
      <c r="L295" s="20"/>
      <c r="M295" s="20"/>
    </row>
    <row r="296" customFormat="false" ht="15" hidden="false" customHeight="false" outlineLevel="0" collapsed="false">
      <c r="B296" s="20"/>
      <c r="L296" s="20"/>
      <c r="M296" s="20"/>
    </row>
    <row r="297" customFormat="false" ht="15" hidden="false" customHeight="false" outlineLevel="0" collapsed="false">
      <c r="B297" s="20"/>
      <c r="L297" s="20"/>
      <c r="M297" s="20"/>
    </row>
    <row r="298" customFormat="false" ht="15" hidden="false" customHeight="false" outlineLevel="0" collapsed="false">
      <c r="B298" s="20"/>
      <c r="L298" s="20"/>
      <c r="M298" s="20"/>
    </row>
    <row r="299" customFormat="false" ht="15" hidden="false" customHeight="false" outlineLevel="0" collapsed="false">
      <c r="B299" s="20"/>
      <c r="L299" s="20"/>
      <c r="M299" s="20"/>
    </row>
    <row r="300" customFormat="false" ht="15" hidden="false" customHeight="false" outlineLevel="0" collapsed="false">
      <c r="B300" s="20"/>
      <c r="L300" s="20"/>
      <c r="M300" s="20"/>
    </row>
    <row r="301" customFormat="false" ht="15" hidden="false" customHeight="false" outlineLevel="0" collapsed="false">
      <c r="B301" s="20"/>
      <c r="L301" s="20"/>
      <c r="M301" s="20"/>
    </row>
    <row r="302" customFormat="false" ht="15" hidden="false" customHeight="false" outlineLevel="0" collapsed="false">
      <c r="B302" s="20"/>
      <c r="L302" s="20"/>
      <c r="M302" s="20"/>
    </row>
    <row r="303" customFormat="false" ht="15" hidden="false" customHeight="false" outlineLevel="0" collapsed="false">
      <c r="B303" s="20"/>
      <c r="L303" s="20"/>
      <c r="M303" s="20"/>
    </row>
    <row r="304" customFormat="false" ht="15" hidden="false" customHeight="false" outlineLevel="0" collapsed="false">
      <c r="B304" s="20"/>
      <c r="L304" s="20"/>
      <c r="M304" s="20"/>
    </row>
    <row r="305" customFormat="false" ht="15" hidden="false" customHeight="false" outlineLevel="0" collapsed="false">
      <c r="B305" s="20"/>
      <c r="L305" s="20"/>
      <c r="M305" s="20"/>
    </row>
    <row r="306" customFormat="false" ht="15" hidden="false" customHeight="false" outlineLevel="0" collapsed="false">
      <c r="B306" s="20"/>
      <c r="L306" s="20"/>
      <c r="M306" s="20"/>
    </row>
    <row r="307" customFormat="false" ht="15" hidden="false" customHeight="false" outlineLevel="0" collapsed="false">
      <c r="B307" s="20"/>
      <c r="L307" s="20"/>
      <c r="M307" s="20"/>
    </row>
    <row r="308" customFormat="false" ht="15" hidden="false" customHeight="false" outlineLevel="0" collapsed="false">
      <c r="B308" s="20"/>
      <c r="L308" s="20"/>
      <c r="M308" s="20"/>
    </row>
    <row r="309" customFormat="false" ht="15" hidden="false" customHeight="false" outlineLevel="0" collapsed="false">
      <c r="B309" s="20"/>
      <c r="L309" s="20"/>
      <c r="M309" s="20"/>
    </row>
    <row r="310" customFormat="false" ht="15" hidden="false" customHeight="false" outlineLevel="0" collapsed="false">
      <c r="B310" s="20"/>
      <c r="L310" s="20"/>
      <c r="M310" s="20"/>
    </row>
    <row r="311" customFormat="false" ht="15" hidden="false" customHeight="false" outlineLevel="0" collapsed="false">
      <c r="B311" s="20"/>
      <c r="L311" s="20"/>
      <c r="M311" s="20"/>
    </row>
    <row r="312" customFormat="false" ht="15" hidden="false" customHeight="false" outlineLevel="0" collapsed="false">
      <c r="B312" s="20"/>
      <c r="L312" s="20"/>
      <c r="M312" s="20"/>
    </row>
    <row r="313" customFormat="false" ht="15" hidden="false" customHeight="false" outlineLevel="0" collapsed="false">
      <c r="B313" s="20"/>
      <c r="L313" s="20"/>
      <c r="M313" s="20"/>
    </row>
    <row r="314" customFormat="false" ht="15" hidden="false" customHeight="false" outlineLevel="0" collapsed="false">
      <c r="B314" s="20"/>
      <c r="L314" s="20"/>
      <c r="M314" s="20"/>
    </row>
    <row r="315" customFormat="false" ht="15" hidden="false" customHeight="false" outlineLevel="0" collapsed="false">
      <c r="B315" s="20"/>
      <c r="L315" s="20"/>
      <c r="M315" s="20"/>
    </row>
    <row r="316" customFormat="false" ht="15" hidden="false" customHeight="false" outlineLevel="0" collapsed="false">
      <c r="B316" s="20"/>
      <c r="L316" s="20"/>
      <c r="M316" s="20"/>
    </row>
    <row r="317" customFormat="false" ht="15" hidden="false" customHeight="false" outlineLevel="0" collapsed="false">
      <c r="B317" s="20"/>
      <c r="L317" s="20"/>
      <c r="M317" s="20"/>
    </row>
    <row r="318" customFormat="false" ht="15" hidden="false" customHeight="false" outlineLevel="0" collapsed="false">
      <c r="B318" s="20"/>
      <c r="L318" s="20"/>
      <c r="M318" s="20"/>
    </row>
    <row r="319" customFormat="false" ht="15" hidden="false" customHeight="false" outlineLevel="0" collapsed="false">
      <c r="B319" s="20"/>
      <c r="L319" s="20"/>
      <c r="M319" s="20"/>
    </row>
    <row r="320" customFormat="false" ht="15" hidden="false" customHeight="false" outlineLevel="0" collapsed="false">
      <c r="B320" s="20"/>
      <c r="L320" s="20"/>
      <c r="M320" s="20"/>
    </row>
    <row r="321" customFormat="false" ht="15" hidden="false" customHeight="false" outlineLevel="0" collapsed="false">
      <c r="B321" s="20"/>
      <c r="L321" s="20"/>
      <c r="M321" s="20"/>
    </row>
    <row r="322" customFormat="false" ht="15" hidden="false" customHeight="false" outlineLevel="0" collapsed="false">
      <c r="B322" s="20"/>
      <c r="L322" s="20"/>
      <c r="M322" s="20"/>
    </row>
    <row r="323" customFormat="false" ht="15" hidden="false" customHeight="false" outlineLevel="0" collapsed="false">
      <c r="B323" s="20"/>
      <c r="L323" s="20"/>
      <c r="M323" s="20"/>
    </row>
    <row r="324" customFormat="false" ht="15" hidden="false" customHeight="false" outlineLevel="0" collapsed="false">
      <c r="B324" s="20"/>
      <c r="L324" s="20"/>
      <c r="M324" s="20"/>
    </row>
    <row r="325" customFormat="false" ht="15" hidden="false" customHeight="false" outlineLevel="0" collapsed="false">
      <c r="B325" s="20"/>
      <c r="L325" s="20"/>
      <c r="M325" s="20"/>
    </row>
    <row r="326" customFormat="false" ht="15" hidden="false" customHeight="false" outlineLevel="0" collapsed="false">
      <c r="B326" s="20"/>
      <c r="L326" s="20"/>
      <c r="M326" s="20"/>
    </row>
    <row r="327" customFormat="false" ht="15" hidden="false" customHeight="false" outlineLevel="0" collapsed="false">
      <c r="B327" s="20"/>
      <c r="L327" s="20"/>
      <c r="M327" s="20"/>
    </row>
    <row r="328" customFormat="false" ht="15" hidden="false" customHeight="false" outlineLevel="0" collapsed="false">
      <c r="B328" s="20"/>
      <c r="L328" s="20"/>
      <c r="M328" s="20"/>
    </row>
    <row r="329" customFormat="false" ht="15" hidden="false" customHeight="false" outlineLevel="0" collapsed="false">
      <c r="B329" s="20"/>
      <c r="L329" s="20"/>
      <c r="M329" s="20"/>
    </row>
    <row r="330" customFormat="false" ht="15" hidden="false" customHeight="false" outlineLevel="0" collapsed="false">
      <c r="B330" s="20"/>
      <c r="L330" s="20"/>
      <c r="M330" s="20"/>
    </row>
    <row r="331" customFormat="false" ht="15" hidden="false" customHeight="false" outlineLevel="0" collapsed="false">
      <c r="B331" s="20"/>
      <c r="L331" s="20"/>
      <c r="M331" s="20"/>
    </row>
    <row r="332" customFormat="false" ht="15" hidden="false" customHeight="false" outlineLevel="0" collapsed="false">
      <c r="B332" s="20"/>
      <c r="L332" s="20"/>
      <c r="M332" s="20"/>
    </row>
    <row r="333" customFormat="false" ht="15" hidden="false" customHeight="false" outlineLevel="0" collapsed="false">
      <c r="B333" s="20"/>
      <c r="L333" s="20"/>
      <c r="M333" s="20"/>
    </row>
    <row r="334" customFormat="false" ht="15" hidden="false" customHeight="false" outlineLevel="0" collapsed="false">
      <c r="B334" s="20"/>
      <c r="L334" s="20"/>
      <c r="M334" s="20"/>
    </row>
    <row r="335" customFormat="false" ht="15" hidden="false" customHeight="false" outlineLevel="0" collapsed="false">
      <c r="B335" s="20"/>
      <c r="L335" s="20"/>
      <c r="M335" s="20"/>
    </row>
    <row r="336" customFormat="false" ht="15" hidden="false" customHeight="false" outlineLevel="0" collapsed="false">
      <c r="B336" s="20"/>
      <c r="L336" s="20"/>
      <c r="M336" s="20"/>
    </row>
    <row r="337" customFormat="false" ht="15" hidden="false" customHeight="false" outlineLevel="0" collapsed="false">
      <c r="B337" s="20"/>
      <c r="L337" s="20"/>
      <c r="M337" s="20"/>
    </row>
    <row r="338" customFormat="false" ht="15" hidden="false" customHeight="false" outlineLevel="0" collapsed="false">
      <c r="B338" s="20"/>
      <c r="L338" s="20"/>
      <c r="M338" s="20"/>
    </row>
    <row r="339" customFormat="false" ht="15" hidden="false" customHeight="false" outlineLevel="0" collapsed="false">
      <c r="B339" s="20"/>
      <c r="L339" s="20"/>
      <c r="M339" s="20"/>
    </row>
    <row r="340" customFormat="false" ht="15" hidden="false" customHeight="false" outlineLevel="0" collapsed="false">
      <c r="B340" s="20"/>
      <c r="L340" s="20"/>
      <c r="M340" s="20"/>
    </row>
    <row r="341" customFormat="false" ht="15" hidden="false" customHeight="false" outlineLevel="0" collapsed="false">
      <c r="B341" s="20"/>
      <c r="L341" s="20"/>
      <c r="M341" s="20"/>
    </row>
    <row r="342" customFormat="false" ht="15" hidden="false" customHeight="false" outlineLevel="0" collapsed="false">
      <c r="B342" s="20"/>
      <c r="L342" s="20"/>
      <c r="M342" s="20"/>
    </row>
    <row r="343" customFormat="false" ht="15" hidden="false" customHeight="false" outlineLevel="0" collapsed="false">
      <c r="B343" s="20"/>
      <c r="L343" s="20"/>
      <c r="M343" s="20"/>
    </row>
    <row r="344" customFormat="false" ht="15" hidden="false" customHeight="false" outlineLevel="0" collapsed="false">
      <c r="B344" s="20"/>
      <c r="L344" s="20"/>
      <c r="M344" s="20"/>
    </row>
    <row r="345" customFormat="false" ht="15" hidden="false" customHeight="false" outlineLevel="0" collapsed="false">
      <c r="B345" s="20"/>
      <c r="L345" s="20"/>
      <c r="M345" s="20"/>
    </row>
    <row r="346" customFormat="false" ht="15" hidden="false" customHeight="false" outlineLevel="0" collapsed="false">
      <c r="B346" s="20"/>
      <c r="L346" s="20"/>
      <c r="M346" s="20"/>
    </row>
    <row r="347" customFormat="false" ht="15" hidden="false" customHeight="false" outlineLevel="0" collapsed="false">
      <c r="B347" s="20"/>
      <c r="L347" s="20"/>
      <c r="M347" s="20"/>
    </row>
    <row r="348" customFormat="false" ht="15" hidden="false" customHeight="false" outlineLevel="0" collapsed="false">
      <c r="B348" s="20"/>
      <c r="L348" s="20"/>
      <c r="M348" s="20"/>
    </row>
    <row r="349" customFormat="false" ht="15" hidden="false" customHeight="false" outlineLevel="0" collapsed="false">
      <c r="B349" s="20"/>
      <c r="L349" s="20"/>
      <c r="M349" s="20"/>
    </row>
    <row r="350" customFormat="false" ht="15" hidden="false" customHeight="false" outlineLevel="0" collapsed="false">
      <c r="B350" s="20"/>
      <c r="L350" s="20"/>
      <c r="M350" s="20"/>
    </row>
    <row r="351" customFormat="false" ht="15" hidden="false" customHeight="false" outlineLevel="0" collapsed="false">
      <c r="B351" s="20"/>
      <c r="L351" s="20"/>
      <c r="M351" s="20"/>
    </row>
    <row r="352" customFormat="false" ht="15" hidden="false" customHeight="false" outlineLevel="0" collapsed="false">
      <c r="B352" s="20"/>
      <c r="L352" s="20"/>
      <c r="M352" s="20"/>
    </row>
    <row r="353" customFormat="false" ht="15" hidden="false" customHeight="false" outlineLevel="0" collapsed="false">
      <c r="B353" s="20"/>
      <c r="L353" s="20"/>
      <c r="M353" s="20"/>
    </row>
    <row r="354" customFormat="false" ht="15" hidden="false" customHeight="false" outlineLevel="0" collapsed="false">
      <c r="B354" s="20"/>
      <c r="L354" s="20"/>
      <c r="M354" s="20"/>
    </row>
    <row r="355" customFormat="false" ht="15" hidden="false" customHeight="false" outlineLevel="0" collapsed="false">
      <c r="B355" s="20"/>
      <c r="L355" s="20"/>
      <c r="M355" s="20"/>
    </row>
    <row r="356" customFormat="false" ht="15" hidden="false" customHeight="false" outlineLevel="0" collapsed="false">
      <c r="B356" s="20"/>
      <c r="L356" s="20"/>
      <c r="M356" s="20"/>
    </row>
    <row r="357" customFormat="false" ht="15" hidden="false" customHeight="false" outlineLevel="0" collapsed="false">
      <c r="B357" s="20"/>
      <c r="L357" s="20"/>
      <c r="M357" s="20"/>
    </row>
    <row r="358" customFormat="false" ht="15" hidden="false" customHeight="false" outlineLevel="0" collapsed="false">
      <c r="B358" s="20"/>
      <c r="L358" s="20"/>
      <c r="M358" s="20"/>
    </row>
    <row r="359" customFormat="false" ht="15" hidden="false" customHeight="false" outlineLevel="0" collapsed="false">
      <c r="B359" s="20"/>
      <c r="L359" s="20"/>
      <c r="M359" s="20"/>
    </row>
    <row r="360" customFormat="false" ht="15" hidden="false" customHeight="false" outlineLevel="0" collapsed="false">
      <c r="B360" s="20"/>
      <c r="L360" s="20"/>
      <c r="M360" s="20"/>
    </row>
    <row r="361" customFormat="false" ht="15" hidden="false" customHeight="false" outlineLevel="0" collapsed="false">
      <c r="B361" s="20"/>
      <c r="L361" s="20"/>
      <c r="M361" s="20"/>
    </row>
    <row r="362" customFormat="false" ht="15" hidden="false" customHeight="false" outlineLevel="0" collapsed="false">
      <c r="B362" s="20"/>
      <c r="L362" s="20"/>
      <c r="M362" s="20"/>
    </row>
    <row r="363" customFormat="false" ht="15" hidden="false" customHeight="false" outlineLevel="0" collapsed="false">
      <c r="B363" s="20"/>
      <c r="L363" s="20"/>
      <c r="M363" s="20"/>
    </row>
    <row r="364" customFormat="false" ht="15" hidden="false" customHeight="false" outlineLevel="0" collapsed="false">
      <c r="B364" s="20"/>
      <c r="L364" s="20"/>
      <c r="M364" s="20"/>
    </row>
    <row r="365" customFormat="false" ht="15" hidden="false" customHeight="false" outlineLevel="0" collapsed="false">
      <c r="B365" s="20"/>
      <c r="L365" s="20"/>
      <c r="M365" s="20"/>
    </row>
    <row r="366" customFormat="false" ht="15" hidden="false" customHeight="false" outlineLevel="0" collapsed="false">
      <c r="B366" s="20"/>
      <c r="L366" s="20"/>
      <c r="M366" s="20"/>
    </row>
    <row r="367" customFormat="false" ht="15" hidden="false" customHeight="false" outlineLevel="0" collapsed="false">
      <c r="B367" s="20"/>
      <c r="L367" s="20"/>
      <c r="M367" s="20"/>
    </row>
    <row r="368" customFormat="false" ht="15" hidden="false" customHeight="false" outlineLevel="0" collapsed="false">
      <c r="B368" s="20"/>
      <c r="L368" s="20"/>
      <c r="M368" s="20"/>
    </row>
    <row r="369" customFormat="false" ht="15" hidden="false" customHeight="false" outlineLevel="0" collapsed="false">
      <c r="B369" s="20"/>
      <c r="L369" s="20"/>
      <c r="M369" s="20"/>
    </row>
    <row r="370" customFormat="false" ht="15" hidden="false" customHeight="false" outlineLevel="0" collapsed="false">
      <c r="B370" s="20"/>
      <c r="L370" s="20"/>
      <c r="M370" s="20"/>
    </row>
    <row r="371" customFormat="false" ht="15" hidden="false" customHeight="false" outlineLevel="0" collapsed="false">
      <c r="B371" s="20"/>
      <c r="L371" s="20"/>
      <c r="M371" s="20"/>
    </row>
    <row r="372" customFormat="false" ht="15" hidden="false" customHeight="false" outlineLevel="0" collapsed="false">
      <c r="B372" s="20"/>
      <c r="L372" s="20"/>
      <c r="M372" s="20"/>
    </row>
    <row r="373" customFormat="false" ht="15" hidden="false" customHeight="false" outlineLevel="0" collapsed="false">
      <c r="B373" s="20"/>
      <c r="L373" s="20"/>
      <c r="M373" s="20"/>
    </row>
    <row r="374" customFormat="false" ht="15" hidden="false" customHeight="false" outlineLevel="0" collapsed="false">
      <c r="B374" s="20"/>
      <c r="L374" s="20"/>
      <c r="M374" s="20"/>
    </row>
    <row r="375" customFormat="false" ht="15" hidden="false" customHeight="false" outlineLevel="0" collapsed="false">
      <c r="B375" s="20"/>
      <c r="L375" s="20"/>
      <c r="M375" s="20"/>
    </row>
    <row r="376" customFormat="false" ht="15" hidden="false" customHeight="false" outlineLevel="0" collapsed="false">
      <c r="B376" s="20"/>
      <c r="L376" s="20"/>
      <c r="M376" s="20"/>
    </row>
    <row r="377" customFormat="false" ht="15" hidden="false" customHeight="false" outlineLevel="0" collapsed="false">
      <c r="B377" s="20"/>
      <c r="L377" s="20"/>
      <c r="M377" s="20"/>
    </row>
    <row r="378" customFormat="false" ht="15" hidden="false" customHeight="false" outlineLevel="0" collapsed="false">
      <c r="B378" s="20"/>
      <c r="L378" s="20"/>
      <c r="M378" s="20"/>
    </row>
    <row r="379" customFormat="false" ht="15" hidden="false" customHeight="false" outlineLevel="0" collapsed="false">
      <c r="B379" s="20"/>
      <c r="L379" s="20"/>
      <c r="M379" s="20"/>
    </row>
    <row r="380" customFormat="false" ht="15" hidden="false" customHeight="false" outlineLevel="0" collapsed="false">
      <c r="B380" s="20"/>
      <c r="L380" s="20"/>
      <c r="M380" s="20"/>
    </row>
    <row r="381" customFormat="false" ht="15" hidden="false" customHeight="false" outlineLevel="0" collapsed="false">
      <c r="B381" s="20"/>
      <c r="L381" s="20"/>
      <c r="M381" s="20"/>
    </row>
    <row r="382" customFormat="false" ht="15" hidden="false" customHeight="false" outlineLevel="0" collapsed="false">
      <c r="B382" s="20"/>
      <c r="L382" s="20"/>
      <c r="M382" s="20"/>
    </row>
    <row r="383" customFormat="false" ht="15" hidden="false" customHeight="false" outlineLevel="0" collapsed="false">
      <c r="B383" s="20"/>
      <c r="L383" s="20"/>
      <c r="M383" s="20"/>
    </row>
    <row r="384" customFormat="false" ht="15" hidden="false" customHeight="false" outlineLevel="0" collapsed="false">
      <c r="B384" s="20"/>
      <c r="L384" s="20"/>
      <c r="M384" s="20"/>
    </row>
    <row r="385" customFormat="false" ht="15" hidden="false" customHeight="false" outlineLevel="0" collapsed="false">
      <c r="B385" s="20"/>
      <c r="L385" s="20"/>
      <c r="M385" s="20"/>
    </row>
    <row r="386" customFormat="false" ht="15" hidden="false" customHeight="false" outlineLevel="0" collapsed="false">
      <c r="B386" s="20"/>
      <c r="L386" s="20"/>
      <c r="M386" s="20"/>
    </row>
    <row r="387" customFormat="false" ht="15" hidden="false" customHeight="false" outlineLevel="0" collapsed="false">
      <c r="B387" s="20"/>
      <c r="L387" s="20"/>
      <c r="M387" s="20"/>
    </row>
    <row r="388" customFormat="false" ht="15" hidden="false" customHeight="false" outlineLevel="0" collapsed="false">
      <c r="B388" s="20"/>
      <c r="L388" s="20"/>
      <c r="M388" s="20"/>
    </row>
    <row r="389" customFormat="false" ht="15" hidden="false" customHeight="false" outlineLevel="0" collapsed="false">
      <c r="B389" s="20"/>
      <c r="L389" s="20"/>
      <c r="M389" s="20"/>
    </row>
    <row r="390" customFormat="false" ht="15" hidden="false" customHeight="false" outlineLevel="0" collapsed="false">
      <c r="B390" s="20"/>
      <c r="L390" s="20"/>
      <c r="M390" s="20"/>
    </row>
    <row r="391" customFormat="false" ht="15" hidden="false" customHeight="false" outlineLevel="0" collapsed="false">
      <c r="B391" s="20"/>
      <c r="L391" s="20"/>
      <c r="M391" s="20"/>
    </row>
    <row r="392" customFormat="false" ht="15" hidden="false" customHeight="false" outlineLevel="0" collapsed="false">
      <c r="B392" s="20"/>
      <c r="L392" s="20"/>
      <c r="M392" s="20"/>
    </row>
    <row r="393" customFormat="false" ht="15" hidden="false" customHeight="false" outlineLevel="0" collapsed="false">
      <c r="B393" s="20"/>
      <c r="L393" s="20"/>
      <c r="M393" s="20"/>
    </row>
    <row r="394" customFormat="false" ht="15" hidden="false" customHeight="false" outlineLevel="0" collapsed="false">
      <c r="B394" s="20"/>
      <c r="L394" s="20"/>
      <c r="M394" s="20"/>
    </row>
    <row r="395" customFormat="false" ht="15" hidden="false" customHeight="false" outlineLevel="0" collapsed="false">
      <c r="B395" s="20"/>
      <c r="L395" s="20"/>
      <c r="M395" s="20"/>
    </row>
    <row r="396" customFormat="false" ht="15" hidden="false" customHeight="false" outlineLevel="0" collapsed="false">
      <c r="B396" s="20"/>
      <c r="L396" s="20"/>
      <c r="M396" s="20"/>
    </row>
    <row r="397" customFormat="false" ht="15" hidden="false" customHeight="false" outlineLevel="0" collapsed="false">
      <c r="B397" s="20"/>
      <c r="L397" s="20"/>
      <c r="M397" s="20"/>
    </row>
    <row r="398" customFormat="false" ht="15" hidden="false" customHeight="false" outlineLevel="0" collapsed="false">
      <c r="B398" s="20"/>
      <c r="L398" s="20"/>
      <c r="M398" s="20"/>
    </row>
    <row r="399" customFormat="false" ht="15" hidden="false" customHeight="false" outlineLevel="0" collapsed="false">
      <c r="B399" s="20"/>
      <c r="L399" s="20"/>
      <c r="M399" s="20"/>
    </row>
    <row r="400" customFormat="false" ht="15" hidden="false" customHeight="false" outlineLevel="0" collapsed="false">
      <c r="B400" s="20"/>
      <c r="L400" s="20"/>
      <c r="M400" s="20"/>
    </row>
    <row r="401" customFormat="false" ht="15" hidden="false" customHeight="false" outlineLevel="0" collapsed="false">
      <c r="B401" s="20"/>
      <c r="L401" s="20"/>
      <c r="M401" s="20"/>
    </row>
    <row r="402" customFormat="false" ht="15" hidden="false" customHeight="false" outlineLevel="0" collapsed="false">
      <c r="B402" s="20"/>
      <c r="L402" s="20"/>
      <c r="M402" s="20"/>
    </row>
    <row r="403" customFormat="false" ht="15" hidden="false" customHeight="false" outlineLevel="0" collapsed="false">
      <c r="B403" s="20"/>
      <c r="L403" s="20"/>
      <c r="M403" s="20"/>
    </row>
    <row r="404" customFormat="false" ht="15" hidden="false" customHeight="false" outlineLevel="0" collapsed="false">
      <c r="B404" s="20"/>
      <c r="L404" s="20"/>
      <c r="M404" s="20"/>
    </row>
    <row r="405" customFormat="false" ht="15" hidden="false" customHeight="false" outlineLevel="0" collapsed="false">
      <c r="B405" s="20"/>
      <c r="L405" s="20"/>
      <c r="M405" s="20"/>
    </row>
    <row r="406" customFormat="false" ht="15" hidden="false" customHeight="false" outlineLevel="0" collapsed="false">
      <c r="B406" s="20"/>
      <c r="L406" s="20"/>
      <c r="M406" s="20"/>
    </row>
    <row r="407" customFormat="false" ht="15" hidden="false" customHeight="false" outlineLevel="0" collapsed="false">
      <c r="B407" s="20"/>
      <c r="L407" s="20"/>
      <c r="M407" s="20"/>
    </row>
    <row r="408" customFormat="false" ht="15" hidden="false" customHeight="false" outlineLevel="0" collapsed="false">
      <c r="B408" s="20"/>
      <c r="L408" s="20"/>
      <c r="M408" s="20"/>
    </row>
    <row r="409" customFormat="false" ht="15" hidden="false" customHeight="false" outlineLevel="0" collapsed="false">
      <c r="B409" s="20"/>
      <c r="L409" s="20"/>
      <c r="M409" s="20"/>
    </row>
    <row r="410" customFormat="false" ht="15" hidden="false" customHeight="false" outlineLevel="0" collapsed="false">
      <c r="B410" s="20"/>
      <c r="L410" s="20"/>
      <c r="M410" s="20"/>
    </row>
    <row r="411" customFormat="false" ht="15" hidden="false" customHeight="false" outlineLevel="0" collapsed="false">
      <c r="B411" s="20"/>
      <c r="L411" s="20"/>
      <c r="M411" s="20"/>
    </row>
    <row r="412" customFormat="false" ht="15" hidden="false" customHeight="false" outlineLevel="0" collapsed="false">
      <c r="B412" s="20"/>
      <c r="L412" s="20"/>
      <c r="M412" s="20"/>
    </row>
    <row r="413" customFormat="false" ht="15" hidden="false" customHeight="false" outlineLevel="0" collapsed="false">
      <c r="B413" s="20"/>
      <c r="L413" s="20"/>
      <c r="M413" s="20"/>
    </row>
    <row r="414" customFormat="false" ht="15" hidden="false" customHeight="false" outlineLevel="0" collapsed="false">
      <c r="B414" s="20"/>
      <c r="L414" s="20"/>
      <c r="M414" s="20"/>
    </row>
    <row r="415" customFormat="false" ht="15" hidden="false" customHeight="false" outlineLevel="0" collapsed="false">
      <c r="B415" s="20"/>
      <c r="L415" s="20"/>
      <c r="M415" s="20"/>
    </row>
    <row r="416" customFormat="false" ht="15" hidden="false" customHeight="false" outlineLevel="0" collapsed="false">
      <c r="B416" s="20"/>
      <c r="L416" s="20"/>
      <c r="M416" s="20"/>
    </row>
    <row r="417" customFormat="false" ht="15" hidden="false" customHeight="false" outlineLevel="0" collapsed="false">
      <c r="B417" s="20"/>
      <c r="L417" s="20"/>
      <c r="M417" s="20"/>
    </row>
    <row r="418" customFormat="false" ht="15" hidden="false" customHeight="false" outlineLevel="0" collapsed="false">
      <c r="B418" s="20"/>
      <c r="L418" s="20"/>
      <c r="M418" s="20"/>
    </row>
    <row r="419" customFormat="false" ht="15" hidden="false" customHeight="false" outlineLevel="0" collapsed="false">
      <c r="B419" s="20"/>
      <c r="L419" s="20"/>
      <c r="M419" s="20"/>
    </row>
    <row r="420" customFormat="false" ht="15" hidden="false" customHeight="false" outlineLevel="0" collapsed="false">
      <c r="B420" s="20"/>
      <c r="L420" s="20"/>
      <c r="M420" s="20"/>
    </row>
    <row r="421" customFormat="false" ht="15" hidden="false" customHeight="false" outlineLevel="0" collapsed="false">
      <c r="B421" s="20"/>
      <c r="L421" s="20"/>
      <c r="M421" s="20"/>
    </row>
    <row r="422" customFormat="false" ht="15" hidden="false" customHeight="false" outlineLevel="0" collapsed="false">
      <c r="B422" s="20"/>
      <c r="L422" s="20"/>
      <c r="M422" s="20"/>
    </row>
    <row r="423" customFormat="false" ht="15" hidden="false" customHeight="false" outlineLevel="0" collapsed="false">
      <c r="B423" s="20"/>
      <c r="L423" s="20"/>
      <c r="M423" s="20"/>
    </row>
    <row r="424" customFormat="false" ht="15" hidden="false" customHeight="false" outlineLevel="0" collapsed="false">
      <c r="B424" s="20"/>
      <c r="L424" s="20"/>
      <c r="M424" s="20"/>
    </row>
    <row r="425" customFormat="false" ht="15" hidden="false" customHeight="false" outlineLevel="0" collapsed="false">
      <c r="B425" s="20"/>
      <c r="L425" s="20"/>
      <c r="M425" s="20"/>
    </row>
    <row r="426" customFormat="false" ht="15" hidden="false" customHeight="false" outlineLevel="0" collapsed="false">
      <c r="B426" s="20"/>
      <c r="L426" s="20"/>
      <c r="M426" s="20"/>
    </row>
    <row r="427" customFormat="false" ht="15" hidden="false" customHeight="false" outlineLevel="0" collapsed="false">
      <c r="B427" s="20"/>
      <c r="L427" s="20"/>
      <c r="M427" s="20"/>
    </row>
    <row r="428" customFormat="false" ht="15" hidden="false" customHeight="false" outlineLevel="0" collapsed="false">
      <c r="B428" s="20"/>
      <c r="L428" s="20"/>
      <c r="M428" s="20"/>
    </row>
    <row r="429" customFormat="false" ht="15" hidden="false" customHeight="false" outlineLevel="0" collapsed="false">
      <c r="B429" s="20"/>
      <c r="L429" s="20"/>
      <c r="M429" s="20"/>
    </row>
    <row r="430" customFormat="false" ht="15" hidden="false" customHeight="false" outlineLevel="0" collapsed="false">
      <c r="B430" s="20"/>
      <c r="L430" s="20"/>
      <c r="M430" s="20"/>
    </row>
    <row r="431" customFormat="false" ht="15" hidden="false" customHeight="false" outlineLevel="0" collapsed="false">
      <c r="B431" s="20"/>
      <c r="L431" s="20"/>
      <c r="M431" s="20"/>
    </row>
    <row r="432" customFormat="false" ht="15" hidden="false" customHeight="false" outlineLevel="0" collapsed="false">
      <c r="B432" s="20"/>
      <c r="L432" s="20"/>
      <c r="M432" s="20"/>
    </row>
    <row r="433" customFormat="false" ht="15" hidden="false" customHeight="false" outlineLevel="0" collapsed="false">
      <c r="B433" s="20"/>
      <c r="L433" s="20"/>
      <c r="M433" s="20"/>
    </row>
    <row r="434" customFormat="false" ht="15" hidden="false" customHeight="false" outlineLevel="0" collapsed="false">
      <c r="B434" s="20"/>
      <c r="L434" s="20"/>
      <c r="M434" s="20"/>
    </row>
    <row r="435" customFormat="false" ht="15" hidden="false" customHeight="false" outlineLevel="0" collapsed="false">
      <c r="B435" s="20"/>
      <c r="L435" s="20"/>
      <c r="M435" s="20"/>
    </row>
    <row r="436" customFormat="false" ht="15" hidden="false" customHeight="false" outlineLevel="0" collapsed="false">
      <c r="B436" s="20"/>
      <c r="L436" s="20"/>
      <c r="M436" s="20"/>
    </row>
    <row r="437" customFormat="false" ht="15" hidden="false" customHeight="false" outlineLevel="0" collapsed="false">
      <c r="B437" s="20"/>
      <c r="L437" s="20"/>
      <c r="M437" s="20"/>
    </row>
    <row r="438" customFormat="false" ht="15" hidden="false" customHeight="false" outlineLevel="0" collapsed="false">
      <c r="B438" s="20"/>
      <c r="L438" s="20"/>
      <c r="M438" s="20"/>
    </row>
    <row r="439" customFormat="false" ht="15" hidden="false" customHeight="false" outlineLevel="0" collapsed="false">
      <c r="B439" s="20"/>
      <c r="L439" s="20"/>
      <c r="M439" s="20"/>
    </row>
    <row r="440" customFormat="false" ht="15" hidden="false" customHeight="false" outlineLevel="0" collapsed="false">
      <c r="B440" s="20"/>
      <c r="L440" s="20"/>
      <c r="M440" s="20"/>
    </row>
    <row r="441" customFormat="false" ht="15" hidden="false" customHeight="false" outlineLevel="0" collapsed="false">
      <c r="B441" s="20"/>
      <c r="L441" s="20"/>
      <c r="M441" s="20"/>
    </row>
    <row r="442" customFormat="false" ht="15" hidden="false" customHeight="false" outlineLevel="0" collapsed="false">
      <c r="B442" s="20"/>
      <c r="L442" s="20"/>
      <c r="M442" s="20"/>
    </row>
    <row r="443" customFormat="false" ht="15" hidden="false" customHeight="false" outlineLevel="0" collapsed="false">
      <c r="B443" s="20"/>
      <c r="L443" s="20"/>
      <c r="M443" s="20"/>
    </row>
    <row r="444" customFormat="false" ht="15" hidden="false" customHeight="false" outlineLevel="0" collapsed="false">
      <c r="B444" s="20"/>
      <c r="L444" s="20"/>
      <c r="M444" s="20"/>
    </row>
    <row r="445" customFormat="false" ht="15" hidden="false" customHeight="false" outlineLevel="0" collapsed="false">
      <c r="B445" s="20"/>
      <c r="L445" s="20"/>
      <c r="M445" s="20"/>
    </row>
    <row r="446" customFormat="false" ht="15" hidden="false" customHeight="false" outlineLevel="0" collapsed="false">
      <c r="B446" s="20"/>
      <c r="L446" s="20"/>
      <c r="M446" s="20"/>
    </row>
    <row r="447" customFormat="false" ht="15" hidden="false" customHeight="false" outlineLevel="0" collapsed="false">
      <c r="B447" s="20"/>
      <c r="L447" s="20"/>
      <c r="M447" s="20"/>
    </row>
    <row r="448" customFormat="false" ht="15" hidden="false" customHeight="false" outlineLevel="0" collapsed="false">
      <c r="B448" s="20"/>
      <c r="L448" s="20"/>
      <c r="M448" s="20"/>
    </row>
    <row r="449" customFormat="false" ht="15" hidden="false" customHeight="false" outlineLevel="0" collapsed="false">
      <c r="B449" s="20"/>
      <c r="L449" s="20"/>
      <c r="M449" s="20"/>
    </row>
    <row r="450" customFormat="false" ht="15" hidden="false" customHeight="false" outlineLevel="0" collapsed="false">
      <c r="B450" s="20"/>
      <c r="L450" s="20"/>
      <c r="M450" s="20"/>
    </row>
    <row r="451" customFormat="false" ht="15" hidden="false" customHeight="false" outlineLevel="0" collapsed="false">
      <c r="B451" s="20"/>
      <c r="L451" s="20"/>
      <c r="M451" s="20"/>
    </row>
    <row r="452" customFormat="false" ht="15" hidden="false" customHeight="false" outlineLevel="0" collapsed="false">
      <c r="B452" s="20"/>
      <c r="L452" s="20"/>
      <c r="M452" s="20"/>
    </row>
    <row r="453" customFormat="false" ht="15" hidden="false" customHeight="false" outlineLevel="0" collapsed="false">
      <c r="B453" s="20"/>
      <c r="L453" s="20"/>
      <c r="M453" s="20"/>
    </row>
    <row r="454" customFormat="false" ht="15" hidden="false" customHeight="false" outlineLevel="0" collapsed="false">
      <c r="B454" s="20"/>
      <c r="L454" s="20"/>
      <c r="M454" s="20"/>
    </row>
    <row r="455" customFormat="false" ht="15" hidden="false" customHeight="false" outlineLevel="0" collapsed="false">
      <c r="B455" s="20"/>
      <c r="L455" s="20"/>
      <c r="M455" s="20"/>
    </row>
    <row r="456" customFormat="false" ht="15" hidden="false" customHeight="false" outlineLevel="0" collapsed="false">
      <c r="B456" s="20"/>
      <c r="L456" s="20"/>
      <c r="M456" s="20"/>
    </row>
    <row r="457" customFormat="false" ht="15" hidden="false" customHeight="false" outlineLevel="0" collapsed="false">
      <c r="B457" s="20"/>
      <c r="L457" s="20"/>
      <c r="M457" s="20"/>
    </row>
    <row r="458" customFormat="false" ht="15" hidden="false" customHeight="false" outlineLevel="0" collapsed="false">
      <c r="B458" s="20"/>
      <c r="L458" s="20"/>
      <c r="M458" s="20"/>
    </row>
    <row r="459" customFormat="false" ht="15" hidden="false" customHeight="false" outlineLevel="0" collapsed="false">
      <c r="B459" s="20"/>
      <c r="L459" s="20"/>
      <c r="M459" s="20"/>
    </row>
    <row r="460" customFormat="false" ht="15" hidden="false" customHeight="false" outlineLevel="0" collapsed="false">
      <c r="B460" s="20"/>
      <c r="L460" s="20"/>
      <c r="M460" s="20"/>
    </row>
    <row r="461" customFormat="false" ht="15" hidden="false" customHeight="false" outlineLevel="0" collapsed="false">
      <c r="B461" s="20"/>
      <c r="L461" s="20"/>
      <c r="M461" s="20"/>
    </row>
    <row r="462" customFormat="false" ht="15" hidden="false" customHeight="false" outlineLevel="0" collapsed="false">
      <c r="B462" s="20"/>
      <c r="L462" s="20"/>
      <c r="M462" s="20"/>
    </row>
    <row r="463" customFormat="false" ht="15" hidden="false" customHeight="false" outlineLevel="0" collapsed="false">
      <c r="B463" s="20"/>
      <c r="L463" s="20"/>
      <c r="M463" s="20"/>
    </row>
    <row r="464" customFormat="false" ht="15" hidden="false" customHeight="false" outlineLevel="0" collapsed="false">
      <c r="B464" s="20"/>
      <c r="L464" s="20"/>
      <c r="M464" s="20"/>
    </row>
    <row r="465" customFormat="false" ht="15" hidden="false" customHeight="false" outlineLevel="0" collapsed="false">
      <c r="B465" s="20"/>
      <c r="L465" s="20"/>
      <c r="M465" s="20"/>
    </row>
    <row r="466" customFormat="false" ht="15" hidden="false" customHeight="false" outlineLevel="0" collapsed="false">
      <c r="B466" s="20"/>
      <c r="L466" s="20"/>
      <c r="M466" s="20"/>
    </row>
    <row r="467" customFormat="false" ht="15" hidden="false" customHeight="false" outlineLevel="0" collapsed="false">
      <c r="B467" s="20"/>
      <c r="L467" s="20"/>
      <c r="M467" s="20"/>
    </row>
    <row r="468" customFormat="false" ht="15" hidden="false" customHeight="false" outlineLevel="0" collapsed="false">
      <c r="B468" s="20"/>
      <c r="L468" s="20"/>
      <c r="M468" s="20"/>
    </row>
    <row r="469" customFormat="false" ht="15" hidden="false" customHeight="false" outlineLevel="0" collapsed="false">
      <c r="B469" s="20"/>
      <c r="L469" s="20"/>
      <c r="M469" s="20"/>
    </row>
    <row r="470" customFormat="false" ht="15" hidden="false" customHeight="false" outlineLevel="0" collapsed="false">
      <c r="B470" s="20"/>
      <c r="L470" s="20"/>
      <c r="M470" s="20"/>
    </row>
    <row r="471" customFormat="false" ht="15" hidden="false" customHeight="false" outlineLevel="0" collapsed="false">
      <c r="B471" s="20"/>
      <c r="L471" s="20"/>
      <c r="M471" s="20"/>
    </row>
    <row r="472" customFormat="false" ht="15" hidden="false" customHeight="false" outlineLevel="0" collapsed="false">
      <c r="B472" s="20"/>
      <c r="L472" s="20"/>
      <c r="M472" s="20"/>
    </row>
    <row r="473" customFormat="false" ht="15" hidden="false" customHeight="false" outlineLevel="0" collapsed="false">
      <c r="B473" s="20"/>
      <c r="L473" s="20"/>
      <c r="M473" s="20"/>
    </row>
    <row r="474" customFormat="false" ht="15" hidden="false" customHeight="false" outlineLevel="0" collapsed="false">
      <c r="B474" s="20"/>
      <c r="L474" s="20"/>
      <c r="M474" s="20"/>
    </row>
    <row r="475" customFormat="false" ht="15" hidden="false" customHeight="false" outlineLevel="0" collapsed="false">
      <c r="B475" s="20"/>
      <c r="L475" s="20"/>
      <c r="M475" s="20"/>
    </row>
    <row r="476" customFormat="false" ht="15" hidden="false" customHeight="false" outlineLevel="0" collapsed="false">
      <c r="B476" s="20"/>
      <c r="L476" s="20"/>
      <c r="M476" s="20"/>
    </row>
    <row r="477" customFormat="false" ht="15" hidden="false" customHeight="false" outlineLevel="0" collapsed="false">
      <c r="B477" s="20"/>
      <c r="L477" s="20"/>
      <c r="M477" s="20"/>
    </row>
    <row r="478" customFormat="false" ht="15" hidden="false" customHeight="false" outlineLevel="0" collapsed="false">
      <c r="B478" s="20"/>
      <c r="L478" s="20"/>
      <c r="M478" s="20"/>
    </row>
    <row r="479" customFormat="false" ht="15" hidden="false" customHeight="false" outlineLevel="0" collapsed="false">
      <c r="B479" s="20"/>
      <c r="L479" s="20"/>
      <c r="M479" s="20"/>
    </row>
    <row r="480" customFormat="false" ht="15" hidden="false" customHeight="false" outlineLevel="0" collapsed="false">
      <c r="B480" s="20"/>
      <c r="L480" s="20"/>
      <c r="M480" s="20"/>
    </row>
    <row r="481" customFormat="false" ht="15" hidden="false" customHeight="false" outlineLevel="0" collapsed="false">
      <c r="B481" s="20"/>
      <c r="L481" s="20"/>
      <c r="M481" s="20"/>
    </row>
    <row r="482" customFormat="false" ht="15" hidden="false" customHeight="false" outlineLevel="0" collapsed="false">
      <c r="B482" s="20"/>
      <c r="L482" s="20"/>
      <c r="M482" s="20"/>
    </row>
    <row r="483" customFormat="false" ht="15" hidden="false" customHeight="false" outlineLevel="0" collapsed="false">
      <c r="B483" s="20"/>
      <c r="L483" s="20"/>
      <c r="M483" s="20"/>
    </row>
    <row r="484" customFormat="false" ht="15" hidden="false" customHeight="false" outlineLevel="0" collapsed="false">
      <c r="B484" s="20"/>
      <c r="L484" s="20"/>
      <c r="M484" s="20"/>
    </row>
    <row r="485" customFormat="false" ht="15" hidden="false" customHeight="false" outlineLevel="0" collapsed="false">
      <c r="B485" s="20"/>
      <c r="L485" s="20"/>
      <c r="M485" s="20"/>
    </row>
    <row r="486" customFormat="false" ht="15" hidden="false" customHeight="false" outlineLevel="0" collapsed="false">
      <c r="B486" s="20"/>
      <c r="L486" s="20"/>
      <c r="M486" s="20"/>
    </row>
    <row r="487" customFormat="false" ht="15" hidden="false" customHeight="false" outlineLevel="0" collapsed="false">
      <c r="B487" s="20"/>
      <c r="L487" s="20"/>
      <c r="M487" s="20"/>
    </row>
    <row r="488" customFormat="false" ht="15" hidden="false" customHeight="false" outlineLevel="0" collapsed="false">
      <c r="B488" s="20"/>
      <c r="L488" s="20"/>
      <c r="M488" s="20"/>
    </row>
    <row r="489" customFormat="false" ht="15" hidden="false" customHeight="false" outlineLevel="0" collapsed="false">
      <c r="B489" s="20"/>
      <c r="L489" s="20"/>
      <c r="M489" s="20"/>
    </row>
    <row r="490" customFormat="false" ht="15" hidden="false" customHeight="false" outlineLevel="0" collapsed="false">
      <c r="B490" s="20"/>
      <c r="L490" s="20"/>
      <c r="M490" s="20"/>
    </row>
    <row r="491" customFormat="false" ht="15" hidden="false" customHeight="false" outlineLevel="0" collapsed="false">
      <c r="B491" s="20"/>
      <c r="L491" s="20"/>
      <c r="M491" s="20"/>
    </row>
    <row r="492" customFormat="false" ht="15" hidden="false" customHeight="false" outlineLevel="0" collapsed="false">
      <c r="B492" s="20"/>
      <c r="L492" s="20"/>
      <c r="M492" s="20"/>
    </row>
    <row r="493" customFormat="false" ht="15" hidden="false" customHeight="false" outlineLevel="0" collapsed="false">
      <c r="B493" s="20"/>
      <c r="L493" s="20"/>
      <c r="M493" s="20"/>
    </row>
    <row r="494" customFormat="false" ht="15" hidden="false" customHeight="false" outlineLevel="0" collapsed="false">
      <c r="B494" s="20"/>
      <c r="L494" s="20"/>
      <c r="M494" s="20"/>
    </row>
    <row r="495" customFormat="false" ht="15" hidden="false" customHeight="false" outlineLevel="0" collapsed="false">
      <c r="B495" s="20"/>
      <c r="L495" s="20"/>
      <c r="M495" s="20"/>
    </row>
    <row r="496" customFormat="false" ht="15" hidden="false" customHeight="false" outlineLevel="0" collapsed="false">
      <c r="B496" s="20"/>
      <c r="L496" s="20"/>
      <c r="M496" s="20"/>
    </row>
    <row r="497" customFormat="false" ht="15" hidden="false" customHeight="false" outlineLevel="0" collapsed="false">
      <c r="B497" s="20"/>
      <c r="L497" s="20"/>
      <c r="M497" s="20"/>
    </row>
    <row r="498" customFormat="false" ht="15" hidden="false" customHeight="false" outlineLevel="0" collapsed="false">
      <c r="B498" s="20"/>
      <c r="L498" s="20"/>
      <c r="M498" s="20"/>
    </row>
    <row r="499" customFormat="false" ht="15" hidden="false" customHeight="false" outlineLevel="0" collapsed="false">
      <c r="B499" s="20"/>
      <c r="L499" s="20"/>
      <c r="M499" s="20"/>
    </row>
    <row r="500" customFormat="false" ht="15" hidden="false" customHeight="false" outlineLevel="0" collapsed="false">
      <c r="B500" s="20"/>
      <c r="L500" s="20"/>
      <c r="M500" s="20"/>
    </row>
    <row r="501" customFormat="false" ht="15" hidden="false" customHeight="false" outlineLevel="0" collapsed="false">
      <c r="B501" s="20"/>
      <c r="L501" s="20"/>
      <c r="M501" s="20"/>
    </row>
    <row r="502" customFormat="false" ht="15" hidden="false" customHeight="false" outlineLevel="0" collapsed="false">
      <c r="B502" s="20"/>
      <c r="L502" s="20"/>
      <c r="M502" s="20"/>
    </row>
    <row r="503" customFormat="false" ht="15" hidden="false" customHeight="false" outlineLevel="0" collapsed="false">
      <c r="B503" s="20"/>
      <c r="L503" s="20"/>
      <c r="M503" s="20"/>
    </row>
    <row r="504" customFormat="false" ht="15" hidden="false" customHeight="false" outlineLevel="0" collapsed="false">
      <c r="B504" s="20"/>
      <c r="L504" s="20"/>
      <c r="M504" s="20"/>
    </row>
    <row r="505" customFormat="false" ht="15" hidden="false" customHeight="false" outlineLevel="0" collapsed="false">
      <c r="B505" s="20"/>
      <c r="L505" s="20"/>
      <c r="M505" s="20"/>
    </row>
    <row r="506" customFormat="false" ht="15" hidden="false" customHeight="false" outlineLevel="0" collapsed="false">
      <c r="B506" s="20"/>
      <c r="L506" s="20"/>
      <c r="M506" s="20"/>
    </row>
    <row r="507" customFormat="false" ht="15" hidden="false" customHeight="false" outlineLevel="0" collapsed="false">
      <c r="B507" s="20"/>
      <c r="L507" s="20"/>
      <c r="M507" s="20"/>
    </row>
    <row r="508" customFormat="false" ht="15" hidden="false" customHeight="false" outlineLevel="0" collapsed="false">
      <c r="B508" s="20"/>
      <c r="L508" s="20"/>
      <c r="M508" s="20"/>
    </row>
    <row r="509" customFormat="false" ht="15" hidden="false" customHeight="false" outlineLevel="0" collapsed="false">
      <c r="B509" s="20"/>
      <c r="L509" s="20"/>
      <c r="M509" s="20"/>
    </row>
    <row r="510" customFormat="false" ht="15" hidden="false" customHeight="false" outlineLevel="0" collapsed="false">
      <c r="B510" s="20"/>
      <c r="L510" s="20"/>
      <c r="M510" s="20"/>
    </row>
    <row r="511" customFormat="false" ht="15" hidden="false" customHeight="false" outlineLevel="0" collapsed="false">
      <c r="B511" s="20"/>
      <c r="L511" s="20"/>
      <c r="M511" s="20"/>
    </row>
    <row r="512" customFormat="false" ht="15" hidden="false" customHeight="false" outlineLevel="0" collapsed="false">
      <c r="B512" s="20"/>
      <c r="L512" s="20"/>
      <c r="M512" s="20"/>
    </row>
    <row r="513" customFormat="false" ht="15" hidden="false" customHeight="false" outlineLevel="0" collapsed="false">
      <c r="B513" s="20"/>
      <c r="L513" s="20"/>
      <c r="M513" s="20"/>
    </row>
    <row r="514" customFormat="false" ht="15" hidden="false" customHeight="false" outlineLevel="0" collapsed="false">
      <c r="B514" s="20"/>
      <c r="L514" s="20"/>
      <c r="M514" s="20"/>
    </row>
    <row r="515" customFormat="false" ht="15" hidden="false" customHeight="false" outlineLevel="0" collapsed="false">
      <c r="B515" s="20"/>
      <c r="L515" s="20"/>
      <c r="M515" s="20"/>
    </row>
    <row r="516" customFormat="false" ht="15" hidden="false" customHeight="false" outlineLevel="0" collapsed="false">
      <c r="B516" s="20"/>
      <c r="L516" s="20"/>
      <c r="M516" s="20"/>
    </row>
    <row r="517" customFormat="false" ht="15" hidden="false" customHeight="false" outlineLevel="0" collapsed="false">
      <c r="B517" s="20"/>
      <c r="L517" s="20"/>
      <c r="M517" s="20"/>
    </row>
    <row r="518" customFormat="false" ht="15" hidden="false" customHeight="false" outlineLevel="0" collapsed="false">
      <c r="B518" s="20"/>
      <c r="L518" s="20"/>
      <c r="M518" s="20"/>
    </row>
    <row r="519" customFormat="false" ht="15" hidden="false" customHeight="false" outlineLevel="0" collapsed="false">
      <c r="B519" s="20"/>
      <c r="L519" s="20"/>
      <c r="M519" s="20"/>
    </row>
    <row r="520" customFormat="false" ht="15" hidden="false" customHeight="false" outlineLevel="0" collapsed="false">
      <c r="B520" s="20"/>
      <c r="L520" s="20"/>
      <c r="M520" s="20"/>
    </row>
    <row r="521" customFormat="false" ht="15" hidden="false" customHeight="false" outlineLevel="0" collapsed="false">
      <c r="B521" s="20"/>
      <c r="L521" s="20"/>
      <c r="M521" s="20"/>
    </row>
    <row r="522" customFormat="false" ht="15" hidden="false" customHeight="false" outlineLevel="0" collapsed="false">
      <c r="B522" s="20"/>
      <c r="L522" s="20"/>
      <c r="M522" s="20"/>
    </row>
    <row r="523" customFormat="false" ht="15" hidden="false" customHeight="false" outlineLevel="0" collapsed="false">
      <c r="B523" s="20"/>
      <c r="L523" s="20"/>
      <c r="M523" s="20"/>
    </row>
    <row r="524" customFormat="false" ht="15" hidden="false" customHeight="false" outlineLevel="0" collapsed="false">
      <c r="B524" s="20"/>
      <c r="L524" s="20"/>
      <c r="M524" s="20"/>
    </row>
    <row r="525" customFormat="false" ht="15" hidden="false" customHeight="false" outlineLevel="0" collapsed="false">
      <c r="B525" s="20"/>
      <c r="L525" s="20"/>
      <c r="M525" s="20"/>
    </row>
    <row r="526" customFormat="false" ht="15" hidden="false" customHeight="false" outlineLevel="0" collapsed="false">
      <c r="B526" s="20"/>
      <c r="L526" s="20"/>
      <c r="M526" s="20"/>
    </row>
    <row r="527" customFormat="false" ht="15" hidden="false" customHeight="false" outlineLevel="0" collapsed="false">
      <c r="B527" s="20"/>
      <c r="L527" s="20"/>
      <c r="M527" s="20"/>
    </row>
    <row r="528" customFormat="false" ht="15" hidden="false" customHeight="false" outlineLevel="0" collapsed="false">
      <c r="B528" s="20"/>
      <c r="L528" s="20"/>
      <c r="M528" s="20"/>
    </row>
    <row r="529" customFormat="false" ht="15" hidden="false" customHeight="false" outlineLevel="0" collapsed="false">
      <c r="B529" s="20"/>
      <c r="L529" s="20"/>
      <c r="M529" s="20"/>
    </row>
    <row r="530" customFormat="false" ht="15" hidden="false" customHeight="false" outlineLevel="0" collapsed="false">
      <c r="B530" s="20"/>
      <c r="L530" s="20"/>
      <c r="M530" s="20"/>
    </row>
    <row r="531" customFormat="false" ht="15" hidden="false" customHeight="false" outlineLevel="0" collapsed="false">
      <c r="B531" s="20"/>
      <c r="L531" s="20"/>
      <c r="M531" s="20"/>
    </row>
    <row r="532" customFormat="false" ht="15" hidden="false" customHeight="false" outlineLevel="0" collapsed="false">
      <c r="B532" s="20"/>
      <c r="L532" s="20"/>
      <c r="M532" s="20"/>
    </row>
    <row r="533" customFormat="false" ht="15" hidden="false" customHeight="false" outlineLevel="0" collapsed="false">
      <c r="B533" s="20"/>
      <c r="L533" s="20"/>
      <c r="M533" s="20"/>
    </row>
    <row r="534" customFormat="false" ht="15" hidden="false" customHeight="false" outlineLevel="0" collapsed="false">
      <c r="B534" s="20"/>
      <c r="L534" s="20"/>
      <c r="M534" s="20"/>
    </row>
    <row r="535" customFormat="false" ht="15" hidden="false" customHeight="false" outlineLevel="0" collapsed="false">
      <c r="B535" s="20"/>
      <c r="L535" s="20"/>
      <c r="M535" s="20"/>
    </row>
    <row r="536" customFormat="false" ht="15" hidden="false" customHeight="false" outlineLevel="0" collapsed="false">
      <c r="B536" s="20"/>
      <c r="L536" s="20"/>
      <c r="M536" s="20"/>
    </row>
    <row r="537" customFormat="false" ht="15" hidden="false" customHeight="false" outlineLevel="0" collapsed="false">
      <c r="B537" s="20"/>
      <c r="L537" s="20"/>
      <c r="M537" s="20"/>
    </row>
    <row r="538" customFormat="false" ht="15" hidden="false" customHeight="false" outlineLevel="0" collapsed="false">
      <c r="B538" s="20"/>
      <c r="L538" s="20"/>
      <c r="M538" s="20"/>
    </row>
    <row r="539" customFormat="false" ht="15" hidden="false" customHeight="false" outlineLevel="0" collapsed="false">
      <c r="B539" s="20"/>
      <c r="L539" s="20"/>
      <c r="M539" s="20"/>
    </row>
    <row r="540" customFormat="false" ht="15" hidden="false" customHeight="false" outlineLevel="0" collapsed="false">
      <c r="B540" s="20"/>
      <c r="L540" s="20"/>
      <c r="M540" s="20"/>
    </row>
    <row r="541" customFormat="false" ht="15" hidden="false" customHeight="false" outlineLevel="0" collapsed="false">
      <c r="B541" s="20"/>
      <c r="L541" s="20"/>
      <c r="M541" s="20"/>
    </row>
    <row r="542" customFormat="false" ht="15" hidden="false" customHeight="false" outlineLevel="0" collapsed="false">
      <c r="B542" s="20"/>
      <c r="L542" s="20"/>
      <c r="M542" s="20"/>
    </row>
    <row r="543" customFormat="false" ht="15" hidden="false" customHeight="false" outlineLevel="0" collapsed="false">
      <c r="B543" s="20"/>
      <c r="L543" s="20"/>
      <c r="M543" s="20"/>
    </row>
    <row r="544" customFormat="false" ht="15" hidden="false" customHeight="false" outlineLevel="0" collapsed="false">
      <c r="B544" s="20"/>
      <c r="L544" s="20"/>
      <c r="M544" s="20"/>
    </row>
    <row r="545" customFormat="false" ht="15" hidden="false" customHeight="false" outlineLevel="0" collapsed="false">
      <c r="B545" s="20"/>
      <c r="L545" s="20"/>
      <c r="M545" s="20"/>
    </row>
    <row r="546" customFormat="false" ht="15" hidden="false" customHeight="false" outlineLevel="0" collapsed="false">
      <c r="B546" s="20"/>
      <c r="L546" s="20"/>
      <c r="M546" s="20"/>
    </row>
    <row r="547" customFormat="false" ht="15" hidden="false" customHeight="false" outlineLevel="0" collapsed="false">
      <c r="B547" s="20"/>
      <c r="L547" s="20"/>
      <c r="M547" s="20"/>
    </row>
    <row r="548" customFormat="false" ht="15" hidden="false" customHeight="false" outlineLevel="0" collapsed="false">
      <c r="B548" s="20"/>
      <c r="L548" s="20"/>
      <c r="M548" s="20"/>
    </row>
    <row r="549" customFormat="false" ht="15" hidden="false" customHeight="false" outlineLevel="0" collapsed="false">
      <c r="B549" s="20"/>
      <c r="L549" s="20"/>
      <c r="M549" s="20"/>
    </row>
    <row r="550" customFormat="false" ht="15" hidden="false" customHeight="false" outlineLevel="0" collapsed="false">
      <c r="B550" s="20"/>
      <c r="L550" s="20"/>
      <c r="M550" s="20"/>
    </row>
    <row r="551" customFormat="false" ht="15" hidden="false" customHeight="false" outlineLevel="0" collapsed="false">
      <c r="B551" s="20"/>
      <c r="L551" s="20"/>
      <c r="M551" s="20"/>
    </row>
    <row r="552" customFormat="false" ht="15" hidden="false" customHeight="false" outlineLevel="0" collapsed="false">
      <c r="B552" s="20"/>
      <c r="L552" s="20"/>
      <c r="M552" s="20"/>
    </row>
    <row r="553" customFormat="false" ht="15" hidden="false" customHeight="false" outlineLevel="0" collapsed="false">
      <c r="B553" s="20"/>
      <c r="L553" s="20"/>
      <c r="M553" s="20"/>
    </row>
    <row r="554" customFormat="false" ht="15" hidden="false" customHeight="false" outlineLevel="0" collapsed="false">
      <c r="B554" s="20"/>
      <c r="L554" s="20"/>
      <c r="M554" s="20"/>
    </row>
    <row r="555" customFormat="false" ht="15" hidden="false" customHeight="false" outlineLevel="0" collapsed="false">
      <c r="B555" s="20"/>
      <c r="L555" s="20"/>
      <c r="M555" s="20"/>
    </row>
    <row r="556" customFormat="false" ht="15" hidden="false" customHeight="false" outlineLevel="0" collapsed="false">
      <c r="B556" s="20"/>
      <c r="L556" s="20"/>
      <c r="M556" s="20"/>
    </row>
    <row r="557" customFormat="false" ht="15" hidden="false" customHeight="false" outlineLevel="0" collapsed="false">
      <c r="B557" s="20"/>
      <c r="L557" s="20"/>
      <c r="M557" s="20"/>
    </row>
    <row r="558" customFormat="false" ht="15" hidden="false" customHeight="false" outlineLevel="0" collapsed="false">
      <c r="B558" s="20"/>
      <c r="L558" s="20"/>
      <c r="M558" s="20"/>
    </row>
    <row r="559" customFormat="false" ht="15" hidden="false" customHeight="false" outlineLevel="0" collapsed="false">
      <c r="B559" s="20"/>
      <c r="L559" s="20"/>
      <c r="M559" s="20"/>
    </row>
    <row r="560" customFormat="false" ht="15" hidden="false" customHeight="false" outlineLevel="0" collapsed="false">
      <c r="B560" s="20"/>
      <c r="L560" s="20"/>
      <c r="M560" s="20"/>
    </row>
    <row r="561" customFormat="false" ht="15" hidden="false" customHeight="false" outlineLevel="0" collapsed="false">
      <c r="B561" s="20"/>
      <c r="L561" s="20"/>
      <c r="M561" s="20"/>
    </row>
    <row r="562" customFormat="false" ht="15" hidden="false" customHeight="false" outlineLevel="0" collapsed="false">
      <c r="B562" s="20"/>
      <c r="L562" s="20"/>
      <c r="M562" s="20"/>
    </row>
    <row r="563" customFormat="false" ht="15" hidden="false" customHeight="false" outlineLevel="0" collapsed="false">
      <c r="B563" s="20"/>
      <c r="L563" s="20"/>
      <c r="M563" s="20"/>
    </row>
    <row r="564" customFormat="false" ht="15" hidden="false" customHeight="false" outlineLevel="0" collapsed="false">
      <c r="B564" s="20"/>
      <c r="L564" s="20"/>
      <c r="M564" s="20"/>
    </row>
    <row r="565" customFormat="false" ht="15" hidden="false" customHeight="false" outlineLevel="0" collapsed="false">
      <c r="B565" s="20"/>
      <c r="L565" s="20"/>
      <c r="M565" s="20"/>
    </row>
    <row r="566" customFormat="false" ht="15" hidden="false" customHeight="false" outlineLevel="0" collapsed="false">
      <c r="B566" s="20"/>
      <c r="L566" s="20"/>
      <c r="M566" s="20"/>
    </row>
    <row r="567" customFormat="false" ht="15" hidden="false" customHeight="false" outlineLevel="0" collapsed="false">
      <c r="B567" s="20"/>
      <c r="L567" s="20"/>
      <c r="M567" s="20"/>
    </row>
    <row r="568" customFormat="false" ht="15" hidden="false" customHeight="false" outlineLevel="0" collapsed="false">
      <c r="B568" s="20"/>
      <c r="L568" s="20"/>
      <c r="M568" s="20"/>
    </row>
    <row r="569" customFormat="false" ht="15" hidden="false" customHeight="false" outlineLevel="0" collapsed="false">
      <c r="B569" s="20"/>
      <c r="L569" s="20"/>
      <c r="M569" s="20"/>
    </row>
    <row r="570" customFormat="false" ht="15" hidden="false" customHeight="false" outlineLevel="0" collapsed="false">
      <c r="B570" s="20"/>
      <c r="L570" s="20"/>
      <c r="M570" s="20"/>
    </row>
    <row r="571" customFormat="false" ht="15" hidden="false" customHeight="false" outlineLevel="0" collapsed="false">
      <c r="B571" s="20"/>
      <c r="L571" s="20"/>
      <c r="M571" s="20"/>
    </row>
    <row r="572" customFormat="false" ht="15" hidden="false" customHeight="false" outlineLevel="0" collapsed="false">
      <c r="B572" s="20"/>
      <c r="L572" s="20"/>
      <c r="M572" s="20"/>
    </row>
    <row r="573" customFormat="false" ht="15" hidden="false" customHeight="false" outlineLevel="0" collapsed="false">
      <c r="B573" s="20"/>
      <c r="L573" s="20"/>
      <c r="M573" s="20"/>
    </row>
    <row r="574" customFormat="false" ht="15" hidden="false" customHeight="false" outlineLevel="0" collapsed="false">
      <c r="B574" s="20"/>
      <c r="L574" s="20"/>
      <c r="M574" s="20"/>
    </row>
    <row r="575" customFormat="false" ht="15" hidden="false" customHeight="false" outlineLevel="0" collapsed="false">
      <c r="B575" s="20"/>
      <c r="L575" s="20"/>
      <c r="M575" s="20"/>
    </row>
    <row r="576" customFormat="false" ht="15" hidden="false" customHeight="false" outlineLevel="0" collapsed="false">
      <c r="B576" s="20"/>
      <c r="L576" s="20"/>
      <c r="M576" s="20"/>
    </row>
    <row r="577" customFormat="false" ht="15" hidden="false" customHeight="false" outlineLevel="0" collapsed="false">
      <c r="B577" s="20"/>
      <c r="L577" s="20"/>
      <c r="M577" s="20"/>
    </row>
    <row r="578" customFormat="false" ht="15" hidden="false" customHeight="false" outlineLevel="0" collapsed="false">
      <c r="B578" s="20"/>
      <c r="L578" s="20"/>
      <c r="M578" s="20"/>
    </row>
    <row r="579" customFormat="false" ht="15" hidden="false" customHeight="false" outlineLevel="0" collapsed="false">
      <c r="B579" s="20"/>
      <c r="L579" s="20"/>
      <c r="M579" s="20"/>
    </row>
    <row r="580" customFormat="false" ht="15" hidden="false" customHeight="false" outlineLevel="0" collapsed="false">
      <c r="B580" s="20"/>
      <c r="L580" s="20"/>
      <c r="M580" s="20"/>
    </row>
    <row r="581" customFormat="false" ht="15" hidden="false" customHeight="false" outlineLevel="0" collapsed="false">
      <c r="B581" s="20"/>
      <c r="L581" s="20"/>
      <c r="M581" s="20"/>
    </row>
    <row r="582" customFormat="false" ht="15" hidden="false" customHeight="false" outlineLevel="0" collapsed="false">
      <c r="B582" s="20"/>
      <c r="L582" s="20"/>
      <c r="M582" s="20"/>
    </row>
    <row r="583" customFormat="false" ht="15" hidden="false" customHeight="false" outlineLevel="0" collapsed="false">
      <c r="B583" s="20"/>
      <c r="L583" s="20"/>
      <c r="M583" s="20"/>
    </row>
    <row r="584" customFormat="false" ht="15" hidden="false" customHeight="false" outlineLevel="0" collapsed="false">
      <c r="B584" s="20"/>
      <c r="L584" s="20"/>
      <c r="M584" s="20"/>
    </row>
    <row r="585" customFormat="false" ht="15" hidden="false" customHeight="false" outlineLevel="0" collapsed="false">
      <c r="B585" s="20"/>
      <c r="L585" s="20"/>
      <c r="M585" s="20"/>
    </row>
    <row r="586" customFormat="false" ht="15" hidden="false" customHeight="false" outlineLevel="0" collapsed="false">
      <c r="B586" s="20"/>
      <c r="L586" s="20"/>
      <c r="M586" s="20"/>
    </row>
    <row r="587" customFormat="false" ht="15" hidden="false" customHeight="false" outlineLevel="0" collapsed="false">
      <c r="B587" s="20"/>
      <c r="L587" s="20"/>
      <c r="M587" s="20"/>
    </row>
    <row r="588" customFormat="false" ht="15" hidden="false" customHeight="false" outlineLevel="0" collapsed="false">
      <c r="B588" s="20"/>
      <c r="L588" s="20"/>
      <c r="M588" s="20"/>
    </row>
    <row r="589" customFormat="false" ht="15" hidden="false" customHeight="false" outlineLevel="0" collapsed="false">
      <c r="B589" s="20"/>
      <c r="L589" s="20"/>
      <c r="M589" s="20"/>
    </row>
    <row r="590" customFormat="false" ht="15" hidden="false" customHeight="false" outlineLevel="0" collapsed="false">
      <c r="B590" s="20"/>
      <c r="L590" s="20"/>
      <c r="M590" s="20"/>
    </row>
    <row r="591" customFormat="false" ht="15" hidden="false" customHeight="false" outlineLevel="0" collapsed="false">
      <c r="B591" s="20"/>
      <c r="L591" s="20"/>
      <c r="M591" s="20"/>
    </row>
    <row r="592" customFormat="false" ht="15" hidden="false" customHeight="false" outlineLevel="0" collapsed="false">
      <c r="B592" s="20"/>
      <c r="L592" s="20"/>
      <c r="M592" s="20"/>
    </row>
    <row r="593" customFormat="false" ht="15" hidden="false" customHeight="false" outlineLevel="0" collapsed="false">
      <c r="B593" s="20"/>
      <c r="L593" s="20"/>
      <c r="M593" s="20"/>
    </row>
    <row r="594" customFormat="false" ht="15" hidden="false" customHeight="false" outlineLevel="0" collapsed="false">
      <c r="B594" s="20"/>
      <c r="L594" s="20"/>
      <c r="M594" s="20"/>
    </row>
    <row r="595" customFormat="false" ht="15" hidden="false" customHeight="false" outlineLevel="0" collapsed="false">
      <c r="B595" s="20"/>
      <c r="L595" s="20"/>
      <c r="M595" s="20"/>
    </row>
    <row r="596" customFormat="false" ht="15" hidden="false" customHeight="false" outlineLevel="0" collapsed="false">
      <c r="B596" s="20"/>
      <c r="L596" s="20"/>
      <c r="M596" s="20"/>
    </row>
    <row r="597" customFormat="false" ht="15" hidden="false" customHeight="false" outlineLevel="0" collapsed="false">
      <c r="B597" s="20"/>
      <c r="L597" s="20"/>
      <c r="M597" s="20"/>
    </row>
    <row r="598" customFormat="false" ht="15" hidden="false" customHeight="false" outlineLevel="0" collapsed="false">
      <c r="B598" s="20"/>
      <c r="L598" s="20"/>
      <c r="M598" s="20"/>
    </row>
    <row r="599" customFormat="false" ht="15" hidden="false" customHeight="false" outlineLevel="0" collapsed="false">
      <c r="B599" s="20"/>
      <c r="L599" s="20"/>
      <c r="M599" s="20"/>
    </row>
    <row r="600" customFormat="false" ht="15" hidden="false" customHeight="false" outlineLevel="0" collapsed="false">
      <c r="B600" s="20"/>
      <c r="L600" s="20"/>
      <c r="M600" s="20"/>
    </row>
    <row r="601" customFormat="false" ht="15" hidden="false" customHeight="false" outlineLevel="0" collapsed="false">
      <c r="B601" s="20"/>
      <c r="L601" s="20"/>
      <c r="M601" s="20"/>
    </row>
    <row r="602" customFormat="false" ht="15" hidden="false" customHeight="false" outlineLevel="0" collapsed="false">
      <c r="B602" s="20"/>
      <c r="L602" s="20"/>
      <c r="M602" s="20"/>
    </row>
    <row r="603" customFormat="false" ht="15" hidden="false" customHeight="false" outlineLevel="0" collapsed="false">
      <c r="B603" s="20"/>
      <c r="L603" s="20"/>
      <c r="M603" s="20"/>
    </row>
    <row r="604" customFormat="false" ht="15" hidden="false" customHeight="false" outlineLevel="0" collapsed="false">
      <c r="B604" s="20"/>
      <c r="L604" s="20"/>
      <c r="M604" s="20"/>
    </row>
    <row r="605" customFormat="false" ht="15" hidden="false" customHeight="false" outlineLevel="0" collapsed="false">
      <c r="B605" s="20"/>
      <c r="L605" s="20"/>
      <c r="M605" s="20"/>
    </row>
    <row r="606" customFormat="false" ht="15" hidden="false" customHeight="false" outlineLevel="0" collapsed="false">
      <c r="B606" s="20"/>
      <c r="L606" s="20"/>
      <c r="M606" s="20"/>
    </row>
    <row r="607" customFormat="false" ht="15" hidden="false" customHeight="false" outlineLevel="0" collapsed="false">
      <c r="B607" s="20"/>
      <c r="L607" s="20"/>
      <c r="M607" s="20"/>
    </row>
    <row r="608" customFormat="false" ht="15" hidden="false" customHeight="false" outlineLevel="0" collapsed="false">
      <c r="B608" s="20"/>
      <c r="L608" s="20"/>
      <c r="M608" s="20"/>
    </row>
    <row r="609" customFormat="false" ht="15" hidden="false" customHeight="false" outlineLevel="0" collapsed="false">
      <c r="B609" s="20"/>
      <c r="L609" s="20"/>
      <c r="M609" s="20"/>
    </row>
    <row r="610" customFormat="false" ht="15" hidden="false" customHeight="false" outlineLevel="0" collapsed="false">
      <c r="B610" s="20"/>
      <c r="L610" s="20"/>
      <c r="M610" s="20"/>
    </row>
    <row r="611" customFormat="false" ht="15" hidden="false" customHeight="false" outlineLevel="0" collapsed="false">
      <c r="B611" s="20"/>
      <c r="L611" s="20"/>
      <c r="M611" s="20"/>
    </row>
    <row r="612" customFormat="false" ht="15" hidden="false" customHeight="false" outlineLevel="0" collapsed="false">
      <c r="B612" s="20"/>
      <c r="L612" s="20"/>
      <c r="M612" s="20"/>
    </row>
    <row r="613" customFormat="false" ht="15" hidden="false" customHeight="false" outlineLevel="0" collapsed="false">
      <c r="B613" s="20"/>
      <c r="L613" s="20"/>
      <c r="M613" s="20"/>
    </row>
    <row r="614" customFormat="false" ht="15" hidden="false" customHeight="false" outlineLevel="0" collapsed="false">
      <c r="B614" s="20"/>
      <c r="L614" s="20"/>
      <c r="M614" s="20"/>
    </row>
    <row r="615" customFormat="false" ht="15" hidden="false" customHeight="false" outlineLevel="0" collapsed="false">
      <c r="B615" s="20"/>
      <c r="L615" s="20"/>
      <c r="M615" s="20"/>
    </row>
    <row r="616" customFormat="false" ht="15" hidden="false" customHeight="false" outlineLevel="0" collapsed="false">
      <c r="B616" s="20"/>
      <c r="L616" s="20"/>
      <c r="M616" s="20"/>
    </row>
    <row r="617" customFormat="false" ht="15" hidden="false" customHeight="false" outlineLevel="0" collapsed="false">
      <c r="B617" s="20"/>
      <c r="L617" s="20"/>
      <c r="M617" s="20"/>
    </row>
    <row r="618" customFormat="false" ht="15" hidden="false" customHeight="false" outlineLevel="0" collapsed="false">
      <c r="B618" s="20"/>
      <c r="L618" s="20"/>
      <c r="M618" s="20"/>
    </row>
    <row r="619" customFormat="false" ht="15" hidden="false" customHeight="false" outlineLevel="0" collapsed="false">
      <c r="B619" s="20"/>
      <c r="L619" s="20"/>
      <c r="M619" s="20"/>
    </row>
    <row r="620" customFormat="false" ht="15" hidden="false" customHeight="false" outlineLevel="0" collapsed="false">
      <c r="B620" s="20"/>
      <c r="L620" s="20"/>
      <c r="M620" s="20"/>
    </row>
    <row r="621" customFormat="false" ht="15" hidden="false" customHeight="false" outlineLevel="0" collapsed="false">
      <c r="B621" s="20"/>
      <c r="L621" s="20"/>
      <c r="M621" s="20"/>
    </row>
    <row r="622" customFormat="false" ht="15" hidden="false" customHeight="false" outlineLevel="0" collapsed="false">
      <c r="B622" s="20"/>
      <c r="L622" s="20"/>
      <c r="M622" s="20"/>
    </row>
    <row r="623" customFormat="false" ht="15" hidden="false" customHeight="false" outlineLevel="0" collapsed="false">
      <c r="B623" s="20"/>
      <c r="L623" s="20"/>
      <c r="M623" s="20"/>
    </row>
    <row r="624" customFormat="false" ht="15" hidden="false" customHeight="false" outlineLevel="0" collapsed="false">
      <c r="B624" s="20"/>
      <c r="L624" s="20"/>
      <c r="M624" s="20"/>
    </row>
    <row r="625" customFormat="false" ht="15" hidden="false" customHeight="false" outlineLevel="0" collapsed="false">
      <c r="B625" s="20"/>
      <c r="L625" s="20"/>
      <c r="M625" s="20"/>
    </row>
    <row r="626" customFormat="false" ht="15" hidden="false" customHeight="false" outlineLevel="0" collapsed="false">
      <c r="B626" s="20"/>
      <c r="L626" s="20"/>
      <c r="M626" s="20"/>
    </row>
    <row r="627" customFormat="false" ht="15" hidden="false" customHeight="false" outlineLevel="0" collapsed="false">
      <c r="B627" s="20"/>
      <c r="L627" s="20"/>
      <c r="M627" s="20"/>
    </row>
    <row r="628" customFormat="false" ht="15" hidden="false" customHeight="false" outlineLevel="0" collapsed="false">
      <c r="B628" s="20"/>
      <c r="L628" s="20"/>
      <c r="M628" s="20"/>
    </row>
    <row r="629" customFormat="false" ht="15" hidden="false" customHeight="false" outlineLevel="0" collapsed="false">
      <c r="B629" s="20"/>
      <c r="L629" s="20"/>
      <c r="M629" s="20"/>
    </row>
    <row r="630" customFormat="false" ht="15" hidden="false" customHeight="false" outlineLevel="0" collapsed="false">
      <c r="B630" s="20"/>
      <c r="L630" s="20"/>
      <c r="M630" s="20"/>
    </row>
    <row r="631" customFormat="false" ht="15" hidden="false" customHeight="false" outlineLevel="0" collapsed="false">
      <c r="B631" s="20"/>
      <c r="L631" s="20"/>
      <c r="M631" s="20"/>
    </row>
    <row r="632" customFormat="false" ht="15" hidden="false" customHeight="false" outlineLevel="0" collapsed="false">
      <c r="B632" s="20"/>
      <c r="L632" s="20"/>
      <c r="M632" s="20"/>
    </row>
    <row r="633" customFormat="false" ht="15" hidden="false" customHeight="false" outlineLevel="0" collapsed="false">
      <c r="B633" s="20"/>
      <c r="L633" s="20"/>
      <c r="M633" s="20"/>
    </row>
    <row r="634" customFormat="false" ht="15" hidden="false" customHeight="false" outlineLevel="0" collapsed="false">
      <c r="B634" s="20"/>
      <c r="L634" s="20"/>
      <c r="M634" s="20"/>
    </row>
    <row r="635" customFormat="false" ht="15" hidden="false" customHeight="false" outlineLevel="0" collapsed="false">
      <c r="B635" s="20"/>
      <c r="L635" s="20"/>
      <c r="M635" s="20"/>
    </row>
    <row r="636" customFormat="false" ht="15" hidden="false" customHeight="false" outlineLevel="0" collapsed="false">
      <c r="B636" s="20"/>
      <c r="L636" s="20"/>
      <c r="M636" s="20"/>
    </row>
    <row r="637" customFormat="false" ht="15" hidden="false" customHeight="false" outlineLevel="0" collapsed="false">
      <c r="B637" s="20"/>
      <c r="L637" s="20"/>
      <c r="M637" s="20"/>
    </row>
    <row r="638" customFormat="false" ht="15" hidden="false" customHeight="false" outlineLevel="0" collapsed="false">
      <c r="B638" s="20"/>
      <c r="L638" s="20"/>
      <c r="M638" s="20"/>
    </row>
    <row r="639" customFormat="false" ht="15" hidden="false" customHeight="false" outlineLevel="0" collapsed="false">
      <c r="B639" s="20"/>
      <c r="L639" s="20"/>
      <c r="M639" s="20"/>
    </row>
    <row r="640" customFormat="false" ht="15" hidden="false" customHeight="false" outlineLevel="0" collapsed="false">
      <c r="B640" s="20"/>
      <c r="L640" s="20"/>
      <c r="M640" s="20"/>
    </row>
    <row r="641" customFormat="false" ht="15" hidden="false" customHeight="false" outlineLevel="0" collapsed="false">
      <c r="B641" s="20"/>
      <c r="L641" s="20"/>
      <c r="M641" s="20"/>
    </row>
    <row r="642" customFormat="false" ht="15" hidden="false" customHeight="false" outlineLevel="0" collapsed="false">
      <c r="B642" s="20"/>
      <c r="L642" s="20"/>
      <c r="M642" s="20"/>
    </row>
    <row r="643" customFormat="false" ht="15" hidden="false" customHeight="false" outlineLevel="0" collapsed="false">
      <c r="B643" s="20"/>
      <c r="L643" s="20"/>
      <c r="M643" s="20"/>
    </row>
    <row r="644" customFormat="false" ht="15" hidden="false" customHeight="false" outlineLevel="0" collapsed="false">
      <c r="B644" s="20"/>
      <c r="L644" s="20"/>
      <c r="M644" s="20"/>
    </row>
    <row r="645" customFormat="false" ht="15" hidden="false" customHeight="false" outlineLevel="0" collapsed="false">
      <c r="B645" s="20"/>
      <c r="L645" s="20"/>
      <c r="M645" s="20"/>
    </row>
    <row r="646" customFormat="false" ht="15" hidden="false" customHeight="false" outlineLevel="0" collapsed="false">
      <c r="B646" s="20"/>
      <c r="L646" s="20"/>
      <c r="M646" s="20"/>
    </row>
    <row r="647" customFormat="false" ht="15" hidden="false" customHeight="false" outlineLevel="0" collapsed="false">
      <c r="B647" s="20"/>
      <c r="L647" s="20"/>
      <c r="M647" s="20"/>
    </row>
    <row r="648" customFormat="false" ht="15" hidden="false" customHeight="false" outlineLevel="0" collapsed="false">
      <c r="B648" s="20"/>
      <c r="L648" s="20"/>
      <c r="M648" s="20"/>
    </row>
    <row r="649" customFormat="false" ht="15" hidden="false" customHeight="false" outlineLevel="0" collapsed="false">
      <c r="B649" s="20"/>
      <c r="L649" s="20"/>
      <c r="M649" s="20"/>
    </row>
    <row r="650" customFormat="false" ht="15" hidden="false" customHeight="false" outlineLevel="0" collapsed="false">
      <c r="B650" s="20"/>
      <c r="L650" s="20"/>
      <c r="M650" s="20"/>
    </row>
    <row r="651" customFormat="false" ht="15" hidden="false" customHeight="false" outlineLevel="0" collapsed="false">
      <c r="B651" s="20"/>
      <c r="L651" s="20"/>
      <c r="M651" s="20"/>
    </row>
    <row r="652" customFormat="false" ht="15" hidden="false" customHeight="false" outlineLevel="0" collapsed="false">
      <c r="B652" s="20"/>
      <c r="L652" s="20"/>
      <c r="M652" s="20"/>
    </row>
    <row r="653" customFormat="false" ht="15" hidden="false" customHeight="false" outlineLevel="0" collapsed="false">
      <c r="B653" s="20"/>
      <c r="L653" s="20"/>
      <c r="M653" s="20"/>
    </row>
    <row r="654" customFormat="false" ht="15" hidden="false" customHeight="false" outlineLevel="0" collapsed="false">
      <c r="B654" s="20"/>
      <c r="L654" s="20"/>
      <c r="M654" s="20"/>
    </row>
    <row r="655" customFormat="false" ht="15" hidden="false" customHeight="false" outlineLevel="0" collapsed="false">
      <c r="B655" s="20"/>
      <c r="L655" s="20"/>
      <c r="M655" s="20"/>
    </row>
    <row r="656" customFormat="false" ht="15" hidden="false" customHeight="false" outlineLevel="0" collapsed="false">
      <c r="B656" s="20"/>
      <c r="L656" s="20"/>
      <c r="M656" s="20"/>
    </row>
    <row r="657" customFormat="false" ht="15" hidden="false" customHeight="false" outlineLevel="0" collapsed="false">
      <c r="B657" s="20"/>
      <c r="L657" s="20"/>
      <c r="M657" s="20"/>
    </row>
    <row r="658" customFormat="false" ht="15" hidden="false" customHeight="false" outlineLevel="0" collapsed="false">
      <c r="B658" s="20"/>
      <c r="L658" s="20"/>
      <c r="M658" s="20"/>
    </row>
    <row r="659" customFormat="false" ht="15" hidden="false" customHeight="false" outlineLevel="0" collapsed="false">
      <c r="B659" s="20"/>
      <c r="L659" s="20"/>
      <c r="M659" s="20"/>
    </row>
    <row r="660" customFormat="false" ht="15" hidden="false" customHeight="false" outlineLevel="0" collapsed="false">
      <c r="B660" s="20"/>
      <c r="L660" s="20"/>
      <c r="M660" s="20"/>
    </row>
    <row r="661" customFormat="false" ht="15" hidden="false" customHeight="false" outlineLevel="0" collapsed="false">
      <c r="B661" s="20"/>
      <c r="L661" s="20"/>
      <c r="M661" s="20"/>
    </row>
    <row r="662" customFormat="false" ht="15" hidden="false" customHeight="false" outlineLevel="0" collapsed="false">
      <c r="B662" s="20"/>
      <c r="L662" s="20"/>
      <c r="M662" s="20"/>
    </row>
    <row r="663" customFormat="false" ht="15" hidden="false" customHeight="false" outlineLevel="0" collapsed="false">
      <c r="B663" s="20"/>
      <c r="L663" s="20"/>
      <c r="M663" s="20"/>
    </row>
    <row r="664" customFormat="false" ht="15" hidden="false" customHeight="false" outlineLevel="0" collapsed="false">
      <c r="B664" s="20"/>
      <c r="L664" s="20"/>
      <c r="M664" s="20"/>
    </row>
    <row r="665" customFormat="false" ht="15" hidden="false" customHeight="false" outlineLevel="0" collapsed="false">
      <c r="B665" s="20"/>
      <c r="L665" s="20"/>
      <c r="M665" s="20"/>
    </row>
    <row r="666" customFormat="false" ht="15" hidden="false" customHeight="false" outlineLevel="0" collapsed="false">
      <c r="B666" s="20"/>
      <c r="L666" s="20"/>
      <c r="M666" s="20"/>
    </row>
    <row r="667" customFormat="false" ht="15" hidden="false" customHeight="false" outlineLevel="0" collapsed="false">
      <c r="B667" s="20"/>
      <c r="L667" s="20"/>
      <c r="M667" s="20"/>
    </row>
    <row r="668" customFormat="false" ht="15" hidden="false" customHeight="false" outlineLevel="0" collapsed="false">
      <c r="B668" s="20"/>
      <c r="L668" s="20"/>
      <c r="M668" s="20"/>
    </row>
    <row r="669" customFormat="false" ht="15" hidden="false" customHeight="false" outlineLevel="0" collapsed="false">
      <c r="B669" s="20"/>
      <c r="L669" s="20"/>
      <c r="M669" s="20"/>
    </row>
    <row r="670" customFormat="false" ht="15" hidden="false" customHeight="false" outlineLevel="0" collapsed="false">
      <c r="B670" s="20"/>
      <c r="L670" s="20"/>
      <c r="M670" s="20"/>
    </row>
    <row r="671" customFormat="false" ht="15" hidden="false" customHeight="false" outlineLevel="0" collapsed="false">
      <c r="B671" s="20"/>
      <c r="L671" s="20"/>
      <c r="M671" s="20"/>
    </row>
    <row r="672" customFormat="false" ht="15" hidden="false" customHeight="false" outlineLevel="0" collapsed="false">
      <c r="B672" s="20"/>
      <c r="L672" s="20"/>
      <c r="M672" s="20"/>
    </row>
    <row r="673" customFormat="false" ht="15" hidden="false" customHeight="false" outlineLevel="0" collapsed="false">
      <c r="B673" s="20"/>
      <c r="L673" s="20"/>
      <c r="M673" s="20"/>
    </row>
    <row r="674" customFormat="false" ht="15" hidden="false" customHeight="false" outlineLevel="0" collapsed="false">
      <c r="B674" s="20"/>
      <c r="L674" s="20"/>
      <c r="M674" s="20"/>
    </row>
    <row r="675" customFormat="false" ht="15" hidden="false" customHeight="false" outlineLevel="0" collapsed="false">
      <c r="B675" s="20"/>
      <c r="L675" s="20"/>
      <c r="M675" s="20"/>
    </row>
    <row r="676" customFormat="false" ht="15" hidden="false" customHeight="false" outlineLevel="0" collapsed="false">
      <c r="B676" s="20"/>
      <c r="L676" s="20"/>
      <c r="M676" s="20"/>
    </row>
    <row r="677" customFormat="false" ht="15" hidden="false" customHeight="false" outlineLevel="0" collapsed="false">
      <c r="B677" s="20"/>
      <c r="L677" s="20"/>
      <c r="M677" s="20"/>
    </row>
    <row r="678" customFormat="false" ht="15" hidden="false" customHeight="false" outlineLevel="0" collapsed="false">
      <c r="B678" s="20"/>
      <c r="L678" s="20"/>
      <c r="M678" s="20"/>
    </row>
    <row r="679" customFormat="false" ht="15" hidden="false" customHeight="false" outlineLevel="0" collapsed="false">
      <c r="B679" s="20"/>
      <c r="L679" s="20"/>
      <c r="M679" s="20"/>
    </row>
    <row r="680" customFormat="false" ht="15" hidden="false" customHeight="false" outlineLevel="0" collapsed="false">
      <c r="B680" s="20"/>
      <c r="L680" s="20"/>
      <c r="M680" s="20"/>
    </row>
    <row r="681" customFormat="false" ht="15" hidden="false" customHeight="false" outlineLevel="0" collapsed="false">
      <c r="B681" s="20"/>
      <c r="L681" s="20"/>
      <c r="M681" s="20"/>
    </row>
    <row r="682" customFormat="false" ht="15" hidden="false" customHeight="false" outlineLevel="0" collapsed="false">
      <c r="B682" s="20"/>
      <c r="L682" s="20"/>
      <c r="M682" s="20"/>
    </row>
    <row r="683" customFormat="false" ht="15" hidden="false" customHeight="false" outlineLevel="0" collapsed="false">
      <c r="B683" s="20"/>
      <c r="L683" s="20"/>
      <c r="M683" s="20"/>
    </row>
    <row r="684" customFormat="false" ht="15" hidden="false" customHeight="false" outlineLevel="0" collapsed="false">
      <c r="B684" s="20"/>
      <c r="L684" s="20"/>
      <c r="M684" s="20"/>
    </row>
    <row r="685" customFormat="false" ht="15" hidden="false" customHeight="false" outlineLevel="0" collapsed="false">
      <c r="B685" s="20"/>
      <c r="L685" s="20"/>
      <c r="M685" s="20"/>
    </row>
    <row r="686" customFormat="false" ht="15" hidden="false" customHeight="false" outlineLevel="0" collapsed="false">
      <c r="B686" s="20"/>
      <c r="L686" s="20"/>
      <c r="M686" s="20"/>
    </row>
    <row r="687" customFormat="false" ht="15" hidden="false" customHeight="false" outlineLevel="0" collapsed="false">
      <c r="B687" s="20"/>
      <c r="L687" s="20"/>
      <c r="M687" s="20"/>
    </row>
    <row r="688" customFormat="false" ht="15" hidden="false" customHeight="false" outlineLevel="0" collapsed="false">
      <c r="B688" s="20"/>
      <c r="L688" s="20"/>
      <c r="M688" s="20"/>
    </row>
    <row r="689" customFormat="false" ht="15" hidden="false" customHeight="false" outlineLevel="0" collapsed="false">
      <c r="B689" s="20"/>
      <c r="L689" s="20"/>
      <c r="M689" s="20"/>
    </row>
    <row r="690" customFormat="false" ht="15" hidden="false" customHeight="false" outlineLevel="0" collapsed="false">
      <c r="B690" s="20"/>
      <c r="L690" s="20"/>
      <c r="M690" s="20"/>
    </row>
    <row r="691" customFormat="false" ht="15" hidden="false" customHeight="false" outlineLevel="0" collapsed="false">
      <c r="B691" s="20"/>
      <c r="L691" s="20"/>
      <c r="M691" s="20"/>
    </row>
    <row r="692" customFormat="false" ht="15" hidden="false" customHeight="false" outlineLevel="0" collapsed="false">
      <c r="B692" s="20"/>
      <c r="L692" s="20"/>
      <c r="M692" s="20"/>
    </row>
    <row r="693" customFormat="false" ht="15" hidden="false" customHeight="false" outlineLevel="0" collapsed="false">
      <c r="B693" s="20"/>
      <c r="L693" s="20"/>
      <c r="M693" s="20"/>
    </row>
    <row r="694" customFormat="false" ht="15" hidden="false" customHeight="false" outlineLevel="0" collapsed="false">
      <c r="B694" s="20"/>
      <c r="L694" s="20"/>
      <c r="M694" s="20"/>
    </row>
    <row r="695" customFormat="false" ht="15" hidden="false" customHeight="false" outlineLevel="0" collapsed="false">
      <c r="B695" s="20"/>
      <c r="L695" s="20"/>
      <c r="M695" s="20"/>
    </row>
    <row r="696" customFormat="false" ht="15" hidden="false" customHeight="false" outlineLevel="0" collapsed="false">
      <c r="B696" s="20"/>
      <c r="L696" s="20"/>
      <c r="M696" s="20"/>
    </row>
    <row r="697" customFormat="false" ht="15" hidden="false" customHeight="false" outlineLevel="0" collapsed="false">
      <c r="B697" s="20"/>
      <c r="L697" s="20"/>
      <c r="M697" s="20"/>
    </row>
    <row r="698" customFormat="false" ht="15" hidden="false" customHeight="false" outlineLevel="0" collapsed="false">
      <c r="B698" s="20"/>
      <c r="L698" s="20"/>
      <c r="M698" s="20"/>
    </row>
    <row r="699" customFormat="false" ht="15" hidden="false" customHeight="false" outlineLevel="0" collapsed="false">
      <c r="B699" s="20"/>
      <c r="L699" s="20"/>
      <c r="M699" s="20"/>
    </row>
    <row r="700" customFormat="false" ht="15" hidden="false" customHeight="false" outlineLevel="0" collapsed="false">
      <c r="B700" s="20"/>
      <c r="L700" s="20"/>
      <c r="M700" s="20"/>
    </row>
    <row r="701" customFormat="false" ht="15" hidden="false" customHeight="false" outlineLevel="0" collapsed="false">
      <c r="B701" s="20"/>
      <c r="L701" s="20"/>
      <c r="M701" s="20"/>
    </row>
    <row r="702" customFormat="false" ht="15" hidden="false" customHeight="false" outlineLevel="0" collapsed="false">
      <c r="B702" s="20"/>
      <c r="L702" s="20"/>
      <c r="M702" s="20"/>
    </row>
    <row r="703" customFormat="false" ht="15" hidden="false" customHeight="false" outlineLevel="0" collapsed="false">
      <c r="B703" s="20"/>
      <c r="L703" s="20"/>
      <c r="M703" s="20"/>
    </row>
    <row r="704" customFormat="false" ht="15" hidden="false" customHeight="false" outlineLevel="0" collapsed="false">
      <c r="B704" s="20"/>
      <c r="L704" s="20"/>
      <c r="M704" s="20"/>
    </row>
    <row r="705" customFormat="false" ht="15" hidden="false" customHeight="false" outlineLevel="0" collapsed="false">
      <c r="B705" s="20"/>
      <c r="L705" s="20"/>
      <c r="M705" s="20"/>
    </row>
    <row r="706" customFormat="false" ht="15" hidden="false" customHeight="false" outlineLevel="0" collapsed="false">
      <c r="B706" s="20"/>
      <c r="L706" s="20"/>
      <c r="M706" s="20"/>
    </row>
    <row r="707" customFormat="false" ht="15" hidden="false" customHeight="false" outlineLevel="0" collapsed="false">
      <c r="B707" s="20"/>
      <c r="L707" s="20"/>
      <c r="M707" s="20"/>
    </row>
    <row r="708" customFormat="false" ht="15" hidden="false" customHeight="false" outlineLevel="0" collapsed="false">
      <c r="B708" s="20"/>
      <c r="L708" s="20"/>
      <c r="M708" s="20"/>
    </row>
    <row r="709" customFormat="false" ht="15" hidden="false" customHeight="false" outlineLevel="0" collapsed="false">
      <c r="B709" s="20"/>
      <c r="L709" s="20"/>
      <c r="M709" s="20"/>
    </row>
    <row r="710" customFormat="false" ht="15" hidden="false" customHeight="false" outlineLevel="0" collapsed="false">
      <c r="B710" s="20"/>
      <c r="L710" s="20"/>
      <c r="M710" s="20"/>
    </row>
    <row r="711" customFormat="false" ht="15" hidden="false" customHeight="false" outlineLevel="0" collapsed="false">
      <c r="B711" s="20"/>
      <c r="L711" s="20"/>
      <c r="M711" s="20"/>
    </row>
    <row r="712" customFormat="false" ht="15" hidden="false" customHeight="false" outlineLevel="0" collapsed="false">
      <c r="B712" s="20"/>
      <c r="L712" s="20"/>
      <c r="M712" s="20"/>
    </row>
    <row r="713" customFormat="false" ht="15" hidden="false" customHeight="false" outlineLevel="0" collapsed="false">
      <c r="B713" s="20"/>
      <c r="L713" s="20"/>
      <c r="M713" s="20"/>
    </row>
    <row r="714" customFormat="false" ht="15" hidden="false" customHeight="false" outlineLevel="0" collapsed="false">
      <c r="B714" s="20"/>
      <c r="L714" s="20"/>
      <c r="M714" s="20"/>
    </row>
    <row r="715" customFormat="false" ht="15" hidden="false" customHeight="false" outlineLevel="0" collapsed="false">
      <c r="B715" s="20"/>
      <c r="L715" s="20"/>
      <c r="M715" s="20"/>
    </row>
    <row r="716" customFormat="false" ht="15" hidden="false" customHeight="false" outlineLevel="0" collapsed="false">
      <c r="B716" s="20"/>
      <c r="L716" s="20"/>
      <c r="M716" s="20"/>
    </row>
    <row r="717" customFormat="false" ht="15" hidden="false" customHeight="false" outlineLevel="0" collapsed="false">
      <c r="B717" s="20"/>
      <c r="L717" s="20"/>
      <c r="M717" s="20"/>
    </row>
    <row r="718" customFormat="false" ht="15" hidden="false" customHeight="false" outlineLevel="0" collapsed="false">
      <c r="B718" s="20"/>
      <c r="L718" s="20"/>
      <c r="M718" s="20"/>
    </row>
    <row r="719" customFormat="false" ht="15" hidden="false" customHeight="false" outlineLevel="0" collapsed="false">
      <c r="B719" s="20"/>
      <c r="L719" s="20"/>
      <c r="M719" s="20"/>
    </row>
    <row r="720" customFormat="false" ht="15" hidden="false" customHeight="false" outlineLevel="0" collapsed="false">
      <c r="B720" s="20"/>
      <c r="L720" s="20"/>
      <c r="M720" s="20"/>
    </row>
    <row r="721" customFormat="false" ht="15" hidden="false" customHeight="false" outlineLevel="0" collapsed="false">
      <c r="B721" s="20"/>
      <c r="L721" s="20"/>
      <c r="M721" s="20"/>
    </row>
    <row r="722" customFormat="false" ht="15" hidden="false" customHeight="false" outlineLevel="0" collapsed="false">
      <c r="B722" s="20"/>
      <c r="L722" s="20"/>
      <c r="M722" s="20"/>
    </row>
    <row r="723" customFormat="false" ht="15" hidden="false" customHeight="false" outlineLevel="0" collapsed="false">
      <c r="B723" s="20"/>
      <c r="L723" s="20"/>
      <c r="M723" s="20"/>
    </row>
    <row r="724" customFormat="false" ht="15" hidden="false" customHeight="false" outlineLevel="0" collapsed="false">
      <c r="B724" s="20"/>
      <c r="L724" s="20"/>
      <c r="M724" s="20"/>
    </row>
    <row r="725" customFormat="false" ht="15" hidden="false" customHeight="false" outlineLevel="0" collapsed="false">
      <c r="B725" s="20"/>
      <c r="L725" s="20"/>
      <c r="M725" s="20"/>
    </row>
    <row r="726" customFormat="false" ht="15" hidden="false" customHeight="false" outlineLevel="0" collapsed="false">
      <c r="B726" s="20"/>
      <c r="L726" s="20"/>
      <c r="M726" s="20"/>
    </row>
    <row r="727" customFormat="false" ht="15" hidden="false" customHeight="false" outlineLevel="0" collapsed="false">
      <c r="B727" s="20"/>
      <c r="L727" s="20"/>
      <c r="M727" s="20"/>
    </row>
    <row r="728" customFormat="false" ht="15" hidden="false" customHeight="false" outlineLevel="0" collapsed="false">
      <c r="B728" s="20"/>
      <c r="L728" s="20"/>
      <c r="M728" s="20"/>
    </row>
    <row r="729" customFormat="false" ht="15" hidden="false" customHeight="false" outlineLevel="0" collapsed="false">
      <c r="B729" s="20"/>
      <c r="L729" s="20"/>
      <c r="M729" s="20"/>
    </row>
    <row r="730" customFormat="false" ht="15" hidden="false" customHeight="false" outlineLevel="0" collapsed="false">
      <c r="B730" s="20"/>
      <c r="L730" s="20"/>
      <c r="M730" s="20"/>
    </row>
    <row r="731" customFormat="false" ht="15" hidden="false" customHeight="false" outlineLevel="0" collapsed="false">
      <c r="B731" s="20"/>
      <c r="L731" s="20"/>
      <c r="M731" s="20"/>
    </row>
    <row r="732" customFormat="false" ht="15" hidden="false" customHeight="false" outlineLevel="0" collapsed="false">
      <c r="B732" s="20"/>
      <c r="L732" s="20"/>
      <c r="M732" s="20"/>
    </row>
    <row r="733" customFormat="false" ht="15" hidden="false" customHeight="false" outlineLevel="0" collapsed="false">
      <c r="B733" s="20"/>
      <c r="L733" s="20"/>
      <c r="M733" s="20"/>
    </row>
    <row r="734" customFormat="false" ht="15" hidden="false" customHeight="false" outlineLevel="0" collapsed="false">
      <c r="B734" s="20"/>
      <c r="L734" s="20"/>
      <c r="M734" s="20"/>
    </row>
    <row r="735" customFormat="false" ht="15" hidden="false" customHeight="false" outlineLevel="0" collapsed="false">
      <c r="B735" s="20"/>
      <c r="L735" s="20"/>
      <c r="M735" s="20"/>
    </row>
    <row r="736" customFormat="false" ht="15" hidden="false" customHeight="false" outlineLevel="0" collapsed="false">
      <c r="B736" s="20"/>
      <c r="L736" s="20"/>
      <c r="M736" s="20"/>
    </row>
    <row r="737" customFormat="false" ht="15" hidden="false" customHeight="false" outlineLevel="0" collapsed="false">
      <c r="B737" s="20"/>
      <c r="L737" s="20"/>
      <c r="M737" s="20"/>
    </row>
    <row r="738" customFormat="false" ht="15" hidden="false" customHeight="false" outlineLevel="0" collapsed="false">
      <c r="B738" s="20"/>
      <c r="L738" s="20"/>
      <c r="M738" s="20"/>
    </row>
    <row r="739" customFormat="false" ht="15" hidden="false" customHeight="false" outlineLevel="0" collapsed="false">
      <c r="B739" s="20"/>
      <c r="L739" s="20"/>
      <c r="M739" s="20"/>
    </row>
    <row r="740" customFormat="false" ht="15" hidden="false" customHeight="false" outlineLevel="0" collapsed="false">
      <c r="B740" s="20"/>
      <c r="L740" s="20"/>
      <c r="M740" s="20"/>
    </row>
    <row r="741" customFormat="false" ht="15" hidden="false" customHeight="false" outlineLevel="0" collapsed="false">
      <c r="B741" s="20"/>
      <c r="L741" s="20"/>
      <c r="M741" s="20"/>
    </row>
    <row r="742" customFormat="false" ht="15" hidden="false" customHeight="false" outlineLevel="0" collapsed="false">
      <c r="B742" s="20"/>
      <c r="L742" s="20"/>
      <c r="M742" s="20"/>
    </row>
    <row r="743" customFormat="false" ht="15" hidden="false" customHeight="false" outlineLevel="0" collapsed="false">
      <c r="B743" s="20"/>
      <c r="L743" s="20"/>
      <c r="M743" s="20"/>
    </row>
    <row r="744" customFormat="false" ht="15" hidden="false" customHeight="false" outlineLevel="0" collapsed="false">
      <c r="B744" s="20"/>
      <c r="L744" s="20"/>
      <c r="M744" s="20"/>
    </row>
    <row r="745" customFormat="false" ht="15" hidden="false" customHeight="false" outlineLevel="0" collapsed="false">
      <c r="B745" s="20"/>
      <c r="L745" s="20"/>
      <c r="M745" s="20"/>
    </row>
    <row r="746" customFormat="false" ht="15" hidden="false" customHeight="false" outlineLevel="0" collapsed="false">
      <c r="B746" s="20"/>
      <c r="L746" s="20"/>
      <c r="M746" s="20"/>
    </row>
    <row r="747" customFormat="false" ht="15" hidden="false" customHeight="false" outlineLevel="0" collapsed="false">
      <c r="B747" s="20"/>
      <c r="L747" s="20"/>
      <c r="M747" s="20"/>
    </row>
    <row r="748" customFormat="false" ht="15" hidden="false" customHeight="false" outlineLevel="0" collapsed="false">
      <c r="B748" s="20"/>
      <c r="L748" s="20"/>
      <c r="M748" s="20"/>
    </row>
    <row r="749" customFormat="false" ht="15" hidden="false" customHeight="false" outlineLevel="0" collapsed="false">
      <c r="B749" s="20"/>
      <c r="L749" s="20"/>
      <c r="M749" s="20"/>
    </row>
    <row r="750" customFormat="false" ht="15" hidden="false" customHeight="false" outlineLevel="0" collapsed="false">
      <c r="B750" s="20"/>
      <c r="L750" s="20"/>
      <c r="M750" s="20"/>
    </row>
    <row r="751" customFormat="false" ht="15" hidden="false" customHeight="false" outlineLevel="0" collapsed="false">
      <c r="B751" s="20"/>
      <c r="L751" s="20"/>
      <c r="M751" s="20"/>
    </row>
    <row r="752" customFormat="false" ht="15" hidden="false" customHeight="false" outlineLevel="0" collapsed="false">
      <c r="B752" s="20"/>
      <c r="L752" s="20"/>
      <c r="M752" s="20"/>
    </row>
    <row r="753" customFormat="false" ht="15" hidden="false" customHeight="false" outlineLevel="0" collapsed="false">
      <c r="B753" s="20"/>
      <c r="L753" s="20"/>
      <c r="M753" s="20"/>
    </row>
    <row r="754" customFormat="false" ht="15" hidden="false" customHeight="false" outlineLevel="0" collapsed="false">
      <c r="B754" s="20"/>
      <c r="L754" s="20"/>
      <c r="M754" s="20"/>
    </row>
    <row r="755" customFormat="false" ht="15" hidden="false" customHeight="false" outlineLevel="0" collapsed="false">
      <c r="B755" s="20"/>
      <c r="L755" s="20"/>
      <c r="M755" s="20"/>
    </row>
    <row r="756" customFormat="false" ht="15" hidden="false" customHeight="false" outlineLevel="0" collapsed="false">
      <c r="B756" s="20"/>
      <c r="L756" s="20"/>
      <c r="M756" s="20"/>
    </row>
    <row r="757" customFormat="false" ht="15" hidden="false" customHeight="false" outlineLevel="0" collapsed="false">
      <c r="B757" s="20"/>
      <c r="L757" s="20"/>
      <c r="M757" s="20"/>
    </row>
    <row r="758" customFormat="false" ht="15" hidden="false" customHeight="false" outlineLevel="0" collapsed="false">
      <c r="B758" s="20"/>
      <c r="L758" s="20"/>
      <c r="M758" s="20"/>
    </row>
    <row r="759" customFormat="false" ht="15" hidden="false" customHeight="false" outlineLevel="0" collapsed="false">
      <c r="B759" s="20"/>
      <c r="L759" s="20"/>
      <c r="M759" s="20"/>
    </row>
    <row r="760" customFormat="false" ht="15" hidden="false" customHeight="false" outlineLevel="0" collapsed="false">
      <c r="B760" s="20"/>
      <c r="L760" s="20"/>
      <c r="M760" s="20"/>
    </row>
    <row r="761" customFormat="false" ht="15" hidden="false" customHeight="false" outlineLevel="0" collapsed="false">
      <c r="B761" s="20"/>
      <c r="L761" s="20"/>
      <c r="M761" s="20"/>
    </row>
    <row r="762" customFormat="false" ht="15" hidden="false" customHeight="false" outlineLevel="0" collapsed="false">
      <c r="B762" s="20"/>
      <c r="L762" s="20"/>
      <c r="M762" s="20"/>
    </row>
    <row r="763" customFormat="false" ht="15" hidden="false" customHeight="false" outlineLevel="0" collapsed="false">
      <c r="B763" s="20"/>
      <c r="L763" s="20"/>
      <c r="M763" s="20"/>
    </row>
    <row r="764" customFormat="false" ht="15" hidden="false" customHeight="false" outlineLevel="0" collapsed="false">
      <c r="B764" s="20"/>
      <c r="L764" s="20"/>
      <c r="M764" s="20"/>
    </row>
    <row r="765" customFormat="false" ht="15" hidden="false" customHeight="false" outlineLevel="0" collapsed="false">
      <c r="B765" s="20"/>
      <c r="L765" s="20"/>
      <c r="M765" s="20"/>
    </row>
    <row r="766" customFormat="false" ht="15" hidden="false" customHeight="false" outlineLevel="0" collapsed="false">
      <c r="B766" s="20"/>
      <c r="L766" s="20"/>
      <c r="M766" s="20"/>
    </row>
    <row r="767" customFormat="false" ht="15" hidden="false" customHeight="false" outlineLevel="0" collapsed="false">
      <c r="B767" s="20"/>
      <c r="L767" s="20"/>
      <c r="M767" s="20"/>
    </row>
    <row r="768" customFormat="false" ht="15" hidden="false" customHeight="false" outlineLevel="0" collapsed="false">
      <c r="B768" s="20"/>
      <c r="L768" s="20"/>
      <c r="M768" s="20"/>
    </row>
    <row r="769" customFormat="false" ht="15" hidden="false" customHeight="false" outlineLevel="0" collapsed="false">
      <c r="B769" s="20"/>
      <c r="L769" s="20"/>
      <c r="M769" s="20"/>
    </row>
    <row r="770" customFormat="false" ht="15" hidden="false" customHeight="false" outlineLevel="0" collapsed="false">
      <c r="B770" s="20"/>
      <c r="L770" s="20"/>
      <c r="M770" s="20"/>
    </row>
    <row r="771" customFormat="false" ht="15" hidden="false" customHeight="false" outlineLevel="0" collapsed="false">
      <c r="B771" s="20"/>
      <c r="L771" s="20"/>
      <c r="M771" s="20"/>
    </row>
    <row r="772" customFormat="false" ht="15" hidden="false" customHeight="false" outlineLevel="0" collapsed="false">
      <c r="B772" s="20"/>
      <c r="L772" s="20"/>
      <c r="M772" s="20"/>
    </row>
    <row r="773" customFormat="false" ht="15" hidden="false" customHeight="false" outlineLevel="0" collapsed="false">
      <c r="B773" s="20"/>
      <c r="L773" s="20"/>
      <c r="M773" s="20"/>
    </row>
    <row r="774" customFormat="false" ht="15" hidden="false" customHeight="false" outlineLevel="0" collapsed="false">
      <c r="B774" s="20"/>
      <c r="L774" s="20"/>
      <c r="M774" s="20"/>
    </row>
    <row r="775" customFormat="false" ht="15" hidden="false" customHeight="false" outlineLevel="0" collapsed="false">
      <c r="B775" s="20"/>
      <c r="L775" s="20"/>
      <c r="M775" s="20"/>
    </row>
    <row r="776" customFormat="false" ht="15" hidden="false" customHeight="false" outlineLevel="0" collapsed="false">
      <c r="B776" s="20"/>
      <c r="L776" s="20"/>
      <c r="M776" s="20"/>
    </row>
    <row r="777" customFormat="false" ht="15" hidden="false" customHeight="false" outlineLevel="0" collapsed="false">
      <c r="B777" s="20"/>
      <c r="L777" s="20"/>
      <c r="M777" s="20"/>
    </row>
    <row r="778" customFormat="false" ht="15" hidden="false" customHeight="false" outlineLevel="0" collapsed="false">
      <c r="B778" s="20"/>
      <c r="L778" s="20"/>
      <c r="M778" s="20"/>
    </row>
    <row r="779" customFormat="false" ht="15" hidden="false" customHeight="false" outlineLevel="0" collapsed="false">
      <c r="B779" s="20"/>
      <c r="L779" s="20"/>
      <c r="M779" s="20"/>
    </row>
    <row r="780" customFormat="false" ht="15" hidden="false" customHeight="false" outlineLevel="0" collapsed="false">
      <c r="B780" s="20"/>
      <c r="L780" s="20"/>
      <c r="M780" s="20"/>
    </row>
    <row r="781" customFormat="false" ht="15" hidden="false" customHeight="false" outlineLevel="0" collapsed="false">
      <c r="B781" s="20"/>
      <c r="L781" s="20"/>
      <c r="M781" s="20"/>
    </row>
    <row r="782" customFormat="false" ht="15" hidden="false" customHeight="false" outlineLevel="0" collapsed="false">
      <c r="B782" s="20"/>
      <c r="L782" s="20"/>
      <c r="M782" s="20"/>
    </row>
    <row r="783" customFormat="false" ht="15" hidden="false" customHeight="false" outlineLevel="0" collapsed="false">
      <c r="B783" s="20"/>
      <c r="L783" s="20"/>
      <c r="M783" s="20"/>
    </row>
    <row r="784" customFormat="false" ht="15" hidden="false" customHeight="false" outlineLevel="0" collapsed="false">
      <c r="B784" s="20"/>
      <c r="L784" s="20"/>
      <c r="M784" s="20"/>
    </row>
    <row r="785" customFormat="false" ht="15" hidden="false" customHeight="false" outlineLevel="0" collapsed="false">
      <c r="B785" s="20"/>
      <c r="L785" s="20"/>
      <c r="M785" s="20"/>
    </row>
    <row r="786" customFormat="false" ht="15" hidden="false" customHeight="false" outlineLevel="0" collapsed="false">
      <c r="B786" s="20"/>
      <c r="L786" s="20"/>
      <c r="M786" s="20"/>
    </row>
    <row r="787" customFormat="false" ht="15" hidden="false" customHeight="false" outlineLevel="0" collapsed="false">
      <c r="B787" s="20"/>
      <c r="L787" s="20"/>
      <c r="M787" s="20"/>
    </row>
    <row r="788" customFormat="false" ht="15" hidden="false" customHeight="false" outlineLevel="0" collapsed="false">
      <c r="B788" s="20"/>
      <c r="L788" s="20"/>
      <c r="M788" s="20"/>
    </row>
    <row r="789" customFormat="false" ht="15" hidden="false" customHeight="false" outlineLevel="0" collapsed="false">
      <c r="B789" s="20"/>
      <c r="L789" s="20"/>
      <c r="M789" s="20"/>
    </row>
    <row r="790" customFormat="false" ht="15" hidden="false" customHeight="false" outlineLevel="0" collapsed="false">
      <c r="B790" s="20"/>
      <c r="L790" s="20"/>
      <c r="M790" s="20"/>
    </row>
    <row r="791" customFormat="false" ht="15" hidden="false" customHeight="false" outlineLevel="0" collapsed="false">
      <c r="B791" s="20"/>
      <c r="L791" s="20"/>
      <c r="M791" s="20"/>
    </row>
    <row r="792" customFormat="false" ht="15" hidden="false" customHeight="false" outlineLevel="0" collapsed="false">
      <c r="B792" s="20"/>
      <c r="L792" s="20"/>
      <c r="M792" s="20"/>
    </row>
    <row r="793" customFormat="false" ht="15" hidden="false" customHeight="false" outlineLevel="0" collapsed="false">
      <c r="B793" s="20"/>
      <c r="L793" s="20"/>
      <c r="M793" s="20"/>
    </row>
    <row r="794" customFormat="false" ht="15" hidden="false" customHeight="false" outlineLevel="0" collapsed="false">
      <c r="B794" s="20"/>
      <c r="L794" s="20"/>
      <c r="M794" s="20"/>
    </row>
    <row r="795" customFormat="false" ht="15" hidden="false" customHeight="false" outlineLevel="0" collapsed="false">
      <c r="B795" s="20"/>
      <c r="L795" s="20"/>
      <c r="M795" s="20"/>
    </row>
    <row r="796" customFormat="false" ht="15" hidden="false" customHeight="false" outlineLevel="0" collapsed="false">
      <c r="B796" s="20"/>
      <c r="L796" s="20"/>
      <c r="M796" s="20"/>
    </row>
    <row r="797" customFormat="false" ht="15" hidden="false" customHeight="false" outlineLevel="0" collapsed="false">
      <c r="B797" s="20"/>
      <c r="L797" s="20"/>
      <c r="M797" s="20"/>
    </row>
    <row r="798" customFormat="false" ht="15" hidden="false" customHeight="false" outlineLevel="0" collapsed="false">
      <c r="B798" s="20"/>
      <c r="L798" s="20"/>
      <c r="M798" s="20"/>
    </row>
    <row r="799" customFormat="false" ht="15" hidden="false" customHeight="false" outlineLevel="0" collapsed="false">
      <c r="B799" s="20"/>
      <c r="L799" s="20"/>
      <c r="M799" s="20"/>
    </row>
    <row r="800" customFormat="false" ht="15" hidden="false" customHeight="false" outlineLevel="0" collapsed="false">
      <c r="B800" s="20"/>
      <c r="L800" s="20"/>
      <c r="M800" s="20"/>
    </row>
    <row r="801" customFormat="false" ht="15" hidden="false" customHeight="false" outlineLevel="0" collapsed="false">
      <c r="B801" s="20"/>
      <c r="L801" s="20"/>
      <c r="M801" s="20"/>
    </row>
    <row r="802" customFormat="false" ht="15" hidden="false" customHeight="false" outlineLevel="0" collapsed="false">
      <c r="B802" s="20"/>
      <c r="L802" s="20"/>
      <c r="M802" s="20"/>
    </row>
    <row r="803" customFormat="false" ht="15" hidden="false" customHeight="false" outlineLevel="0" collapsed="false">
      <c r="B803" s="20"/>
      <c r="L803" s="20"/>
      <c r="M803" s="20"/>
    </row>
    <row r="804" customFormat="false" ht="15" hidden="false" customHeight="false" outlineLevel="0" collapsed="false">
      <c r="B804" s="20"/>
      <c r="L804" s="20"/>
      <c r="M804" s="20"/>
    </row>
    <row r="805" customFormat="false" ht="15" hidden="false" customHeight="false" outlineLevel="0" collapsed="false">
      <c r="B805" s="20"/>
      <c r="L805" s="20"/>
      <c r="M805" s="20"/>
    </row>
    <row r="806" customFormat="false" ht="15" hidden="false" customHeight="false" outlineLevel="0" collapsed="false">
      <c r="B806" s="20"/>
      <c r="L806" s="20"/>
      <c r="M806" s="20"/>
    </row>
    <row r="807" customFormat="false" ht="15" hidden="false" customHeight="false" outlineLevel="0" collapsed="false">
      <c r="B807" s="20"/>
      <c r="L807" s="20"/>
      <c r="M807" s="20"/>
    </row>
    <row r="808" customFormat="false" ht="15" hidden="false" customHeight="false" outlineLevel="0" collapsed="false">
      <c r="B808" s="20"/>
      <c r="L808" s="20"/>
      <c r="M808" s="20"/>
    </row>
    <row r="809" customFormat="false" ht="15" hidden="false" customHeight="false" outlineLevel="0" collapsed="false">
      <c r="B809" s="20"/>
      <c r="L809" s="20"/>
      <c r="M809" s="20"/>
    </row>
    <row r="810" customFormat="false" ht="15" hidden="false" customHeight="false" outlineLevel="0" collapsed="false">
      <c r="B810" s="20"/>
      <c r="L810" s="20"/>
      <c r="M810" s="20"/>
    </row>
    <row r="811" customFormat="false" ht="15" hidden="false" customHeight="false" outlineLevel="0" collapsed="false">
      <c r="B811" s="20"/>
      <c r="L811" s="20"/>
      <c r="M811" s="20"/>
    </row>
    <row r="812" customFormat="false" ht="15" hidden="false" customHeight="false" outlineLevel="0" collapsed="false">
      <c r="B812" s="20"/>
      <c r="L812" s="20"/>
      <c r="M812" s="20"/>
    </row>
    <row r="813" customFormat="false" ht="15" hidden="false" customHeight="false" outlineLevel="0" collapsed="false">
      <c r="B813" s="20"/>
      <c r="L813" s="20"/>
      <c r="M813" s="20"/>
    </row>
    <row r="814" customFormat="false" ht="15" hidden="false" customHeight="false" outlineLevel="0" collapsed="false">
      <c r="B814" s="20"/>
      <c r="L814" s="20"/>
      <c r="M814" s="20"/>
    </row>
    <row r="815" customFormat="false" ht="15" hidden="false" customHeight="false" outlineLevel="0" collapsed="false">
      <c r="B815" s="20"/>
      <c r="L815" s="20"/>
      <c r="M815" s="20"/>
    </row>
    <row r="816" customFormat="false" ht="15" hidden="false" customHeight="false" outlineLevel="0" collapsed="false">
      <c r="B816" s="20"/>
      <c r="L816" s="20"/>
      <c r="M816" s="20"/>
    </row>
    <row r="817" customFormat="false" ht="15" hidden="false" customHeight="false" outlineLevel="0" collapsed="false">
      <c r="B817" s="20"/>
      <c r="L817" s="20"/>
      <c r="M817" s="20"/>
    </row>
    <row r="818" customFormat="false" ht="15" hidden="false" customHeight="false" outlineLevel="0" collapsed="false">
      <c r="B818" s="20"/>
      <c r="L818" s="20"/>
      <c r="M818" s="20"/>
    </row>
    <row r="819" customFormat="false" ht="15" hidden="false" customHeight="false" outlineLevel="0" collapsed="false">
      <c r="B819" s="20"/>
      <c r="L819" s="20"/>
      <c r="M819" s="20"/>
    </row>
    <row r="820" customFormat="false" ht="15" hidden="false" customHeight="false" outlineLevel="0" collapsed="false">
      <c r="B820" s="20"/>
      <c r="L820" s="20"/>
      <c r="M820" s="20"/>
    </row>
    <row r="821" customFormat="false" ht="15" hidden="false" customHeight="false" outlineLevel="0" collapsed="false">
      <c r="B821" s="20"/>
      <c r="L821" s="20"/>
      <c r="M821" s="20"/>
    </row>
    <row r="822" customFormat="false" ht="15" hidden="false" customHeight="false" outlineLevel="0" collapsed="false">
      <c r="B822" s="20"/>
      <c r="L822" s="20"/>
      <c r="M822" s="20"/>
    </row>
    <row r="823" customFormat="false" ht="15" hidden="false" customHeight="false" outlineLevel="0" collapsed="false">
      <c r="B823" s="20"/>
      <c r="L823" s="20"/>
      <c r="M823" s="20"/>
    </row>
    <row r="824" customFormat="false" ht="15" hidden="false" customHeight="false" outlineLevel="0" collapsed="false">
      <c r="B824" s="20"/>
      <c r="L824" s="20"/>
      <c r="M824" s="20"/>
    </row>
    <row r="825" customFormat="false" ht="15" hidden="false" customHeight="false" outlineLevel="0" collapsed="false">
      <c r="B825" s="20"/>
      <c r="L825" s="20"/>
      <c r="M825" s="20"/>
    </row>
    <row r="826" customFormat="false" ht="15" hidden="false" customHeight="false" outlineLevel="0" collapsed="false">
      <c r="B826" s="20"/>
      <c r="L826" s="20"/>
      <c r="M826" s="20"/>
    </row>
    <row r="827" customFormat="false" ht="15" hidden="false" customHeight="false" outlineLevel="0" collapsed="false">
      <c r="B827" s="20"/>
      <c r="L827" s="20"/>
      <c r="M827" s="20"/>
    </row>
    <row r="828" customFormat="false" ht="15" hidden="false" customHeight="false" outlineLevel="0" collapsed="false">
      <c r="B828" s="20"/>
      <c r="L828" s="20"/>
      <c r="M828" s="20"/>
    </row>
    <row r="829" customFormat="false" ht="15" hidden="false" customHeight="false" outlineLevel="0" collapsed="false">
      <c r="B829" s="20"/>
      <c r="L829" s="20"/>
      <c r="M829" s="20"/>
    </row>
    <row r="830" customFormat="false" ht="15" hidden="false" customHeight="false" outlineLevel="0" collapsed="false">
      <c r="B830" s="20"/>
      <c r="L830" s="20"/>
      <c r="M830" s="20"/>
    </row>
    <row r="831" customFormat="false" ht="15" hidden="false" customHeight="false" outlineLevel="0" collapsed="false">
      <c r="B831" s="20"/>
      <c r="L831" s="20"/>
      <c r="M831" s="20"/>
    </row>
    <row r="832" customFormat="false" ht="15" hidden="false" customHeight="false" outlineLevel="0" collapsed="false">
      <c r="B832" s="20"/>
      <c r="L832" s="20"/>
      <c r="M832" s="20"/>
    </row>
    <row r="833" customFormat="false" ht="15" hidden="false" customHeight="false" outlineLevel="0" collapsed="false">
      <c r="B833" s="20"/>
      <c r="L833" s="20"/>
      <c r="M833" s="20"/>
    </row>
    <row r="834" customFormat="false" ht="15" hidden="false" customHeight="false" outlineLevel="0" collapsed="false">
      <c r="B834" s="20"/>
      <c r="L834" s="20"/>
      <c r="M834" s="20"/>
    </row>
    <row r="835" customFormat="false" ht="15" hidden="false" customHeight="false" outlineLevel="0" collapsed="false">
      <c r="B835" s="20"/>
      <c r="L835" s="20"/>
      <c r="M835" s="20"/>
    </row>
    <row r="836" customFormat="false" ht="15" hidden="false" customHeight="false" outlineLevel="0" collapsed="false">
      <c r="B836" s="20"/>
      <c r="L836" s="20"/>
      <c r="M836" s="20"/>
    </row>
    <row r="837" customFormat="false" ht="15" hidden="false" customHeight="false" outlineLevel="0" collapsed="false">
      <c r="B837" s="20"/>
      <c r="L837" s="20"/>
      <c r="M837" s="20"/>
    </row>
    <row r="838" customFormat="false" ht="15" hidden="false" customHeight="false" outlineLevel="0" collapsed="false">
      <c r="B838" s="20"/>
      <c r="L838" s="20"/>
      <c r="M838" s="20"/>
    </row>
    <row r="839" customFormat="false" ht="15" hidden="false" customHeight="false" outlineLevel="0" collapsed="false">
      <c r="B839" s="20"/>
      <c r="L839" s="20"/>
      <c r="M839" s="20"/>
    </row>
    <row r="840" customFormat="false" ht="15" hidden="false" customHeight="false" outlineLevel="0" collapsed="false">
      <c r="B840" s="20"/>
      <c r="L840" s="20"/>
      <c r="M840" s="20"/>
    </row>
    <row r="841" customFormat="false" ht="15" hidden="false" customHeight="false" outlineLevel="0" collapsed="false">
      <c r="B841" s="20"/>
      <c r="L841" s="20"/>
      <c r="M841" s="20"/>
    </row>
    <row r="842" customFormat="false" ht="15" hidden="false" customHeight="false" outlineLevel="0" collapsed="false">
      <c r="B842" s="20"/>
      <c r="L842" s="20"/>
      <c r="M842" s="20"/>
    </row>
    <row r="843" customFormat="false" ht="15" hidden="false" customHeight="false" outlineLevel="0" collapsed="false">
      <c r="B843" s="20"/>
      <c r="L843" s="20"/>
      <c r="M843" s="20"/>
    </row>
    <row r="844" customFormat="false" ht="15" hidden="false" customHeight="false" outlineLevel="0" collapsed="false">
      <c r="B844" s="20"/>
      <c r="L844" s="20"/>
      <c r="M844" s="20"/>
    </row>
    <row r="845" customFormat="false" ht="15" hidden="false" customHeight="false" outlineLevel="0" collapsed="false">
      <c r="B845" s="20"/>
      <c r="L845" s="20"/>
      <c r="M845" s="20"/>
    </row>
    <row r="846" customFormat="false" ht="15" hidden="false" customHeight="false" outlineLevel="0" collapsed="false">
      <c r="B846" s="20"/>
      <c r="L846" s="20"/>
      <c r="M846" s="20"/>
    </row>
    <row r="847" customFormat="false" ht="15" hidden="false" customHeight="false" outlineLevel="0" collapsed="false">
      <c r="B847" s="20"/>
      <c r="L847" s="20"/>
      <c r="M847" s="20"/>
    </row>
    <row r="848" customFormat="false" ht="15" hidden="false" customHeight="false" outlineLevel="0" collapsed="false">
      <c r="B848" s="20"/>
      <c r="L848" s="20"/>
      <c r="M848" s="20"/>
    </row>
    <row r="849" customFormat="false" ht="15" hidden="false" customHeight="false" outlineLevel="0" collapsed="false">
      <c r="B849" s="20"/>
      <c r="L849" s="20"/>
      <c r="M849" s="20"/>
    </row>
    <row r="850" customFormat="false" ht="15" hidden="false" customHeight="false" outlineLevel="0" collapsed="false">
      <c r="B850" s="20"/>
      <c r="L850" s="20"/>
      <c r="M850" s="20"/>
    </row>
    <row r="851" customFormat="false" ht="15" hidden="false" customHeight="false" outlineLevel="0" collapsed="false">
      <c r="B851" s="20"/>
      <c r="L851" s="20"/>
      <c r="M851" s="20"/>
    </row>
    <row r="852" customFormat="false" ht="15" hidden="false" customHeight="false" outlineLevel="0" collapsed="false">
      <c r="B852" s="20"/>
      <c r="L852" s="20"/>
      <c r="M852" s="20"/>
    </row>
    <row r="853" customFormat="false" ht="15" hidden="false" customHeight="false" outlineLevel="0" collapsed="false">
      <c r="B853" s="20"/>
      <c r="L853" s="20"/>
      <c r="M853" s="20"/>
    </row>
    <row r="854" customFormat="false" ht="15" hidden="false" customHeight="false" outlineLevel="0" collapsed="false">
      <c r="B854" s="20"/>
      <c r="L854" s="20"/>
      <c r="M854" s="20"/>
    </row>
    <row r="855" customFormat="false" ht="15" hidden="false" customHeight="false" outlineLevel="0" collapsed="false">
      <c r="B855" s="20"/>
      <c r="L855" s="20"/>
      <c r="M855" s="20"/>
    </row>
    <row r="856" customFormat="false" ht="15" hidden="false" customHeight="false" outlineLevel="0" collapsed="false">
      <c r="B856" s="20"/>
      <c r="L856" s="20"/>
      <c r="M856" s="20"/>
    </row>
    <row r="857" customFormat="false" ht="15" hidden="false" customHeight="false" outlineLevel="0" collapsed="false">
      <c r="B857" s="20"/>
      <c r="L857" s="20"/>
      <c r="M857" s="20"/>
    </row>
    <row r="858" customFormat="false" ht="15" hidden="false" customHeight="false" outlineLevel="0" collapsed="false">
      <c r="B858" s="20"/>
      <c r="L858" s="20"/>
      <c r="M858" s="20"/>
    </row>
    <row r="859" customFormat="false" ht="15" hidden="false" customHeight="false" outlineLevel="0" collapsed="false">
      <c r="B859" s="20"/>
      <c r="L859" s="20"/>
      <c r="M859" s="20"/>
    </row>
    <row r="860" customFormat="false" ht="15" hidden="false" customHeight="false" outlineLevel="0" collapsed="false">
      <c r="B860" s="20"/>
      <c r="L860" s="20"/>
      <c r="M860" s="20"/>
    </row>
    <row r="861" customFormat="false" ht="15" hidden="false" customHeight="false" outlineLevel="0" collapsed="false">
      <c r="B861" s="20"/>
      <c r="L861" s="20"/>
      <c r="M861" s="20"/>
    </row>
    <row r="862" customFormat="false" ht="15" hidden="false" customHeight="false" outlineLevel="0" collapsed="false">
      <c r="B862" s="20"/>
      <c r="L862" s="20"/>
      <c r="M862" s="20"/>
    </row>
    <row r="863" customFormat="false" ht="15" hidden="false" customHeight="false" outlineLevel="0" collapsed="false">
      <c r="B863" s="20"/>
      <c r="L863" s="20"/>
      <c r="M863" s="20"/>
    </row>
    <row r="864" customFormat="false" ht="15" hidden="false" customHeight="false" outlineLevel="0" collapsed="false">
      <c r="B864" s="20"/>
      <c r="L864" s="20"/>
      <c r="M864" s="20"/>
    </row>
    <row r="865" customFormat="false" ht="15" hidden="false" customHeight="false" outlineLevel="0" collapsed="false">
      <c r="B865" s="20"/>
      <c r="L865" s="20"/>
      <c r="M865" s="20"/>
    </row>
    <row r="866" customFormat="false" ht="15" hidden="false" customHeight="false" outlineLevel="0" collapsed="false">
      <c r="B866" s="20"/>
      <c r="L866" s="20"/>
      <c r="M866" s="20"/>
    </row>
    <row r="867" customFormat="false" ht="15" hidden="false" customHeight="false" outlineLevel="0" collapsed="false">
      <c r="B867" s="20"/>
      <c r="L867" s="20"/>
      <c r="M867" s="20"/>
    </row>
    <row r="868" customFormat="false" ht="15" hidden="false" customHeight="false" outlineLevel="0" collapsed="false">
      <c r="B868" s="20"/>
      <c r="L868" s="20"/>
      <c r="M868" s="20"/>
    </row>
    <row r="869" customFormat="false" ht="15" hidden="false" customHeight="false" outlineLevel="0" collapsed="false">
      <c r="B869" s="20"/>
      <c r="L869" s="20"/>
      <c r="M869" s="20"/>
    </row>
    <row r="870" customFormat="false" ht="15" hidden="false" customHeight="false" outlineLevel="0" collapsed="false">
      <c r="B870" s="20"/>
      <c r="L870" s="20"/>
      <c r="M870" s="20"/>
    </row>
    <row r="871" customFormat="false" ht="15" hidden="false" customHeight="false" outlineLevel="0" collapsed="false">
      <c r="B871" s="20"/>
      <c r="L871" s="20"/>
      <c r="M871" s="20"/>
    </row>
    <row r="872" customFormat="false" ht="15" hidden="false" customHeight="false" outlineLevel="0" collapsed="false">
      <c r="B872" s="20"/>
      <c r="L872" s="20"/>
      <c r="M872" s="20"/>
    </row>
    <row r="873" customFormat="false" ht="15" hidden="false" customHeight="false" outlineLevel="0" collapsed="false">
      <c r="B873" s="20"/>
      <c r="L873" s="20"/>
      <c r="M873" s="20"/>
    </row>
    <row r="874" customFormat="false" ht="15" hidden="false" customHeight="false" outlineLevel="0" collapsed="false">
      <c r="B874" s="20"/>
      <c r="L874" s="20"/>
      <c r="M874" s="20"/>
    </row>
    <row r="875" customFormat="false" ht="15" hidden="false" customHeight="false" outlineLevel="0" collapsed="false">
      <c r="B875" s="20"/>
      <c r="L875" s="20"/>
      <c r="M875" s="20"/>
    </row>
    <row r="876" customFormat="false" ht="15" hidden="false" customHeight="false" outlineLevel="0" collapsed="false">
      <c r="B876" s="20"/>
      <c r="L876" s="20"/>
      <c r="M876" s="20"/>
    </row>
    <row r="877" customFormat="false" ht="15" hidden="false" customHeight="false" outlineLevel="0" collapsed="false">
      <c r="B877" s="20"/>
      <c r="L877" s="20"/>
      <c r="M877" s="20"/>
    </row>
    <row r="878" customFormat="false" ht="15" hidden="false" customHeight="false" outlineLevel="0" collapsed="false">
      <c r="B878" s="20"/>
      <c r="L878" s="20"/>
      <c r="M878" s="20"/>
    </row>
    <row r="879" customFormat="false" ht="15" hidden="false" customHeight="false" outlineLevel="0" collapsed="false">
      <c r="B879" s="20"/>
      <c r="L879" s="20"/>
      <c r="M879" s="20"/>
    </row>
    <row r="880" customFormat="false" ht="15" hidden="false" customHeight="false" outlineLevel="0" collapsed="false">
      <c r="B880" s="20"/>
      <c r="L880" s="20"/>
      <c r="M880" s="20"/>
    </row>
    <row r="881" customFormat="false" ht="15" hidden="false" customHeight="false" outlineLevel="0" collapsed="false">
      <c r="B881" s="20"/>
      <c r="L881" s="20"/>
      <c r="M881" s="20"/>
    </row>
    <row r="882" customFormat="false" ht="15" hidden="false" customHeight="false" outlineLevel="0" collapsed="false">
      <c r="B882" s="20"/>
      <c r="L882" s="20"/>
      <c r="M882" s="20"/>
    </row>
    <row r="883" customFormat="false" ht="15" hidden="false" customHeight="false" outlineLevel="0" collapsed="false">
      <c r="B883" s="20"/>
      <c r="L883" s="20"/>
      <c r="M883" s="20"/>
    </row>
    <row r="884" customFormat="false" ht="15" hidden="false" customHeight="false" outlineLevel="0" collapsed="false">
      <c r="B884" s="20"/>
      <c r="L884" s="20"/>
      <c r="M884" s="20"/>
    </row>
    <row r="885" customFormat="false" ht="15" hidden="false" customHeight="false" outlineLevel="0" collapsed="false">
      <c r="B885" s="20"/>
      <c r="L885" s="20"/>
      <c r="M885" s="20"/>
    </row>
    <row r="886" customFormat="false" ht="15" hidden="false" customHeight="false" outlineLevel="0" collapsed="false">
      <c r="B886" s="20"/>
      <c r="L886" s="20"/>
      <c r="M886" s="20"/>
    </row>
    <row r="887" customFormat="false" ht="15" hidden="false" customHeight="false" outlineLevel="0" collapsed="false">
      <c r="B887" s="20"/>
      <c r="L887" s="20"/>
      <c r="M887" s="20"/>
    </row>
    <row r="888" customFormat="false" ht="15" hidden="false" customHeight="false" outlineLevel="0" collapsed="false">
      <c r="B888" s="20"/>
      <c r="L888" s="20"/>
      <c r="M888" s="20"/>
    </row>
    <row r="889" customFormat="false" ht="15" hidden="false" customHeight="false" outlineLevel="0" collapsed="false">
      <c r="B889" s="20"/>
      <c r="L889" s="20"/>
      <c r="M889" s="20"/>
    </row>
    <row r="890" customFormat="false" ht="15" hidden="false" customHeight="false" outlineLevel="0" collapsed="false">
      <c r="B890" s="20"/>
      <c r="L890" s="20"/>
      <c r="M890" s="20"/>
    </row>
    <row r="891" customFormat="false" ht="15" hidden="false" customHeight="false" outlineLevel="0" collapsed="false">
      <c r="B891" s="20"/>
      <c r="L891" s="20"/>
      <c r="M891" s="20"/>
    </row>
    <row r="892" customFormat="false" ht="15" hidden="false" customHeight="false" outlineLevel="0" collapsed="false">
      <c r="B892" s="20"/>
      <c r="L892" s="20"/>
      <c r="M892" s="20"/>
    </row>
    <row r="893" customFormat="false" ht="15" hidden="false" customHeight="false" outlineLevel="0" collapsed="false">
      <c r="B893" s="20"/>
      <c r="L893" s="20"/>
      <c r="M893" s="20"/>
    </row>
    <row r="894" customFormat="false" ht="15" hidden="false" customHeight="false" outlineLevel="0" collapsed="false">
      <c r="B894" s="20"/>
      <c r="L894" s="20"/>
      <c r="M894" s="20"/>
    </row>
    <row r="895" customFormat="false" ht="15" hidden="false" customHeight="false" outlineLevel="0" collapsed="false">
      <c r="B895" s="20"/>
      <c r="L895" s="20"/>
      <c r="M895" s="20"/>
    </row>
    <row r="896" customFormat="false" ht="15" hidden="false" customHeight="false" outlineLevel="0" collapsed="false">
      <c r="B896" s="20"/>
      <c r="L896" s="20"/>
      <c r="M896" s="20"/>
    </row>
    <row r="897" customFormat="false" ht="15" hidden="false" customHeight="false" outlineLevel="0" collapsed="false">
      <c r="B897" s="20"/>
      <c r="L897" s="20"/>
      <c r="M897" s="20"/>
    </row>
    <row r="898" customFormat="false" ht="15" hidden="false" customHeight="false" outlineLevel="0" collapsed="false">
      <c r="B898" s="20"/>
      <c r="L898" s="20"/>
      <c r="M898" s="20"/>
    </row>
    <row r="899" customFormat="false" ht="15" hidden="false" customHeight="false" outlineLevel="0" collapsed="false">
      <c r="B899" s="20"/>
      <c r="L899" s="20"/>
      <c r="M899" s="20"/>
    </row>
    <row r="900" customFormat="false" ht="15" hidden="false" customHeight="false" outlineLevel="0" collapsed="false">
      <c r="B900" s="20"/>
      <c r="L900" s="20"/>
      <c r="M900" s="20"/>
    </row>
    <row r="901" customFormat="false" ht="15" hidden="false" customHeight="false" outlineLevel="0" collapsed="false">
      <c r="B901" s="20"/>
      <c r="L901" s="20"/>
      <c r="M901" s="20"/>
    </row>
    <row r="902" customFormat="false" ht="15" hidden="false" customHeight="false" outlineLevel="0" collapsed="false">
      <c r="B902" s="20"/>
      <c r="L902" s="20"/>
      <c r="M902" s="20"/>
    </row>
    <row r="903" customFormat="false" ht="15" hidden="false" customHeight="false" outlineLevel="0" collapsed="false">
      <c r="B903" s="20"/>
      <c r="L903" s="20"/>
      <c r="M903" s="20"/>
    </row>
    <row r="904" customFormat="false" ht="15" hidden="false" customHeight="false" outlineLevel="0" collapsed="false">
      <c r="B904" s="20"/>
      <c r="L904" s="20"/>
      <c r="M904" s="20"/>
    </row>
    <row r="905" customFormat="false" ht="15" hidden="false" customHeight="false" outlineLevel="0" collapsed="false">
      <c r="B905" s="20"/>
      <c r="L905" s="20"/>
      <c r="M905" s="20"/>
    </row>
    <row r="906" customFormat="false" ht="15" hidden="false" customHeight="false" outlineLevel="0" collapsed="false">
      <c r="B906" s="20"/>
      <c r="L906" s="20"/>
      <c r="M906" s="20"/>
    </row>
    <row r="907" customFormat="false" ht="15" hidden="false" customHeight="false" outlineLevel="0" collapsed="false">
      <c r="B907" s="20"/>
      <c r="L907" s="20"/>
      <c r="M907" s="20"/>
    </row>
    <row r="908" customFormat="false" ht="15" hidden="false" customHeight="false" outlineLevel="0" collapsed="false">
      <c r="B908" s="20"/>
      <c r="L908" s="20"/>
      <c r="M908" s="20"/>
    </row>
    <row r="909" customFormat="false" ht="15" hidden="false" customHeight="false" outlineLevel="0" collapsed="false">
      <c r="B909" s="20"/>
      <c r="L909" s="20"/>
      <c r="M909" s="20"/>
    </row>
    <row r="910" customFormat="false" ht="15" hidden="false" customHeight="false" outlineLevel="0" collapsed="false">
      <c r="B910" s="20"/>
      <c r="L910" s="20"/>
      <c r="M910" s="20"/>
    </row>
    <row r="911" customFormat="false" ht="15" hidden="false" customHeight="false" outlineLevel="0" collapsed="false">
      <c r="B911" s="20"/>
      <c r="L911" s="20"/>
      <c r="M911" s="20"/>
    </row>
    <row r="912" customFormat="false" ht="15" hidden="false" customHeight="false" outlineLevel="0" collapsed="false">
      <c r="B912" s="20"/>
      <c r="L912" s="20"/>
      <c r="M912" s="20"/>
    </row>
    <row r="913" customFormat="false" ht="15" hidden="false" customHeight="false" outlineLevel="0" collapsed="false">
      <c r="B913" s="20"/>
      <c r="L913" s="20"/>
      <c r="M913" s="20"/>
    </row>
    <row r="914" customFormat="false" ht="15" hidden="false" customHeight="false" outlineLevel="0" collapsed="false">
      <c r="B914" s="20"/>
      <c r="L914" s="20"/>
      <c r="M914" s="20"/>
    </row>
    <row r="915" customFormat="false" ht="15" hidden="false" customHeight="false" outlineLevel="0" collapsed="false">
      <c r="B915" s="20"/>
      <c r="L915" s="20"/>
      <c r="M915" s="20"/>
    </row>
    <row r="916" customFormat="false" ht="15" hidden="false" customHeight="false" outlineLevel="0" collapsed="false">
      <c r="B916" s="20"/>
      <c r="L916" s="20"/>
      <c r="M916" s="20"/>
    </row>
    <row r="917" customFormat="false" ht="15" hidden="false" customHeight="false" outlineLevel="0" collapsed="false">
      <c r="B917" s="20"/>
      <c r="L917" s="20"/>
      <c r="M917" s="20"/>
    </row>
    <row r="918" customFormat="false" ht="15" hidden="false" customHeight="false" outlineLevel="0" collapsed="false">
      <c r="B918" s="20"/>
      <c r="L918" s="20"/>
      <c r="M918" s="20"/>
    </row>
    <row r="919" customFormat="false" ht="15" hidden="false" customHeight="false" outlineLevel="0" collapsed="false">
      <c r="B919" s="20"/>
      <c r="L919" s="20"/>
      <c r="M919" s="20"/>
    </row>
    <row r="920" customFormat="false" ht="15" hidden="false" customHeight="false" outlineLevel="0" collapsed="false">
      <c r="B920" s="20"/>
      <c r="L920" s="20"/>
      <c r="M920" s="20"/>
    </row>
    <row r="921" customFormat="false" ht="15" hidden="false" customHeight="false" outlineLevel="0" collapsed="false">
      <c r="B921" s="20"/>
      <c r="L921" s="20"/>
      <c r="M921" s="20"/>
    </row>
    <row r="922" customFormat="false" ht="15" hidden="false" customHeight="false" outlineLevel="0" collapsed="false">
      <c r="B922" s="20"/>
      <c r="L922" s="20"/>
      <c r="M922" s="20"/>
    </row>
    <row r="923" customFormat="false" ht="15" hidden="false" customHeight="false" outlineLevel="0" collapsed="false">
      <c r="B923" s="20"/>
      <c r="L923" s="20"/>
      <c r="M923" s="20"/>
    </row>
    <row r="924" customFormat="false" ht="15" hidden="false" customHeight="false" outlineLevel="0" collapsed="false">
      <c r="B924" s="20"/>
      <c r="L924" s="20"/>
      <c r="M924" s="20"/>
    </row>
    <row r="925" customFormat="false" ht="15" hidden="false" customHeight="false" outlineLevel="0" collapsed="false">
      <c r="B925" s="20"/>
      <c r="L925" s="20"/>
      <c r="M925" s="20"/>
    </row>
    <row r="926" customFormat="false" ht="15" hidden="false" customHeight="false" outlineLevel="0" collapsed="false">
      <c r="B926" s="20"/>
      <c r="L926" s="20"/>
      <c r="M926" s="20"/>
    </row>
    <row r="927" customFormat="false" ht="15" hidden="false" customHeight="false" outlineLevel="0" collapsed="false">
      <c r="B927" s="20"/>
      <c r="L927" s="20"/>
      <c r="M927" s="20"/>
    </row>
    <row r="928" customFormat="false" ht="15" hidden="false" customHeight="false" outlineLevel="0" collapsed="false">
      <c r="B928" s="20"/>
      <c r="L928" s="20"/>
      <c r="M928" s="20"/>
    </row>
    <row r="929" customFormat="false" ht="15" hidden="false" customHeight="false" outlineLevel="0" collapsed="false">
      <c r="B929" s="20"/>
      <c r="L929" s="20"/>
      <c r="M929" s="20"/>
    </row>
    <row r="930" customFormat="false" ht="15" hidden="false" customHeight="false" outlineLevel="0" collapsed="false">
      <c r="B930" s="20"/>
      <c r="L930" s="20"/>
      <c r="M930" s="20"/>
    </row>
    <row r="931" customFormat="false" ht="15" hidden="false" customHeight="false" outlineLevel="0" collapsed="false">
      <c r="B931" s="20"/>
      <c r="L931" s="20"/>
      <c r="M931" s="20"/>
    </row>
    <row r="932" customFormat="false" ht="15" hidden="false" customHeight="false" outlineLevel="0" collapsed="false">
      <c r="B932" s="20"/>
      <c r="L932" s="20"/>
      <c r="M932" s="20"/>
    </row>
    <row r="933" customFormat="false" ht="15" hidden="false" customHeight="false" outlineLevel="0" collapsed="false">
      <c r="B933" s="20"/>
      <c r="L933" s="20"/>
      <c r="M933" s="20"/>
    </row>
    <row r="934" customFormat="false" ht="15" hidden="false" customHeight="false" outlineLevel="0" collapsed="false">
      <c r="B934" s="20"/>
      <c r="L934" s="20"/>
      <c r="M934" s="20"/>
    </row>
    <row r="935" customFormat="false" ht="15" hidden="false" customHeight="false" outlineLevel="0" collapsed="false">
      <c r="B935" s="20"/>
      <c r="L935" s="20"/>
      <c r="M935" s="20"/>
    </row>
    <row r="936" customFormat="false" ht="15" hidden="false" customHeight="false" outlineLevel="0" collapsed="false">
      <c r="B936" s="20"/>
      <c r="L936" s="20"/>
      <c r="M936" s="20"/>
    </row>
    <row r="937" customFormat="false" ht="15" hidden="false" customHeight="false" outlineLevel="0" collapsed="false">
      <c r="B937" s="20"/>
      <c r="L937" s="20"/>
      <c r="M937" s="20"/>
    </row>
    <row r="938" customFormat="false" ht="15" hidden="false" customHeight="false" outlineLevel="0" collapsed="false">
      <c r="B938" s="20"/>
      <c r="L938" s="20"/>
      <c r="M938" s="20"/>
    </row>
    <row r="939" customFormat="false" ht="15" hidden="false" customHeight="false" outlineLevel="0" collapsed="false">
      <c r="B939" s="20"/>
      <c r="L939" s="20"/>
      <c r="M939" s="20"/>
    </row>
    <row r="940" customFormat="false" ht="15" hidden="false" customHeight="false" outlineLevel="0" collapsed="false">
      <c r="B940" s="20"/>
      <c r="L940" s="20"/>
      <c r="M940" s="20"/>
    </row>
    <row r="941" customFormat="false" ht="15" hidden="false" customHeight="false" outlineLevel="0" collapsed="false">
      <c r="B941" s="20"/>
      <c r="L941" s="20"/>
      <c r="M941" s="20"/>
    </row>
    <row r="942" customFormat="false" ht="15" hidden="false" customHeight="false" outlineLevel="0" collapsed="false">
      <c r="B942" s="20"/>
      <c r="L942" s="20"/>
      <c r="M942" s="20"/>
    </row>
    <row r="943" customFormat="false" ht="15" hidden="false" customHeight="false" outlineLevel="0" collapsed="false">
      <c r="B943" s="20"/>
      <c r="L943" s="20"/>
      <c r="M943" s="20"/>
    </row>
    <row r="944" customFormat="false" ht="15" hidden="false" customHeight="false" outlineLevel="0" collapsed="false">
      <c r="B944" s="20"/>
      <c r="L944" s="20"/>
      <c r="M944" s="20"/>
    </row>
    <row r="945" customFormat="false" ht="15" hidden="false" customHeight="false" outlineLevel="0" collapsed="false">
      <c r="B945" s="20"/>
      <c r="L945" s="20"/>
      <c r="M945" s="20"/>
    </row>
    <row r="946" customFormat="false" ht="15" hidden="false" customHeight="false" outlineLevel="0" collapsed="false">
      <c r="B946" s="20"/>
      <c r="L946" s="20"/>
      <c r="M946" s="20"/>
    </row>
    <row r="947" customFormat="false" ht="15" hidden="false" customHeight="false" outlineLevel="0" collapsed="false">
      <c r="B947" s="20"/>
      <c r="L947" s="20"/>
      <c r="M947" s="20"/>
    </row>
    <row r="948" customFormat="false" ht="15" hidden="false" customHeight="false" outlineLevel="0" collapsed="false">
      <c r="B948" s="20"/>
      <c r="L948" s="20"/>
      <c r="M948" s="20"/>
    </row>
    <row r="949" customFormat="false" ht="15" hidden="false" customHeight="false" outlineLevel="0" collapsed="false">
      <c r="B949" s="20"/>
      <c r="L949" s="20"/>
      <c r="M949" s="20"/>
    </row>
    <row r="950" customFormat="false" ht="15" hidden="false" customHeight="false" outlineLevel="0" collapsed="false">
      <c r="B950" s="20"/>
      <c r="L950" s="20"/>
      <c r="M950" s="20"/>
    </row>
    <row r="951" customFormat="false" ht="15" hidden="false" customHeight="false" outlineLevel="0" collapsed="false">
      <c r="B951" s="20"/>
      <c r="L951" s="20"/>
      <c r="M951" s="20"/>
    </row>
    <row r="952" customFormat="false" ht="15" hidden="false" customHeight="false" outlineLevel="0" collapsed="false">
      <c r="B952" s="20"/>
      <c r="L952" s="20"/>
      <c r="M952" s="20"/>
    </row>
    <row r="953" customFormat="false" ht="15" hidden="false" customHeight="false" outlineLevel="0" collapsed="false">
      <c r="B953" s="20"/>
      <c r="L953" s="20"/>
      <c r="M953" s="20"/>
    </row>
    <row r="954" customFormat="false" ht="15" hidden="false" customHeight="false" outlineLevel="0" collapsed="false">
      <c r="B954" s="20"/>
      <c r="L954" s="20"/>
      <c r="M954" s="20"/>
    </row>
    <row r="955" customFormat="false" ht="15" hidden="false" customHeight="false" outlineLevel="0" collapsed="false">
      <c r="B955" s="20"/>
      <c r="L955" s="20"/>
      <c r="M955" s="20"/>
    </row>
    <row r="956" customFormat="false" ht="15" hidden="false" customHeight="false" outlineLevel="0" collapsed="false">
      <c r="B956" s="20"/>
      <c r="L956" s="20"/>
      <c r="M956" s="20"/>
    </row>
    <row r="957" customFormat="false" ht="15" hidden="false" customHeight="false" outlineLevel="0" collapsed="false">
      <c r="B957" s="20"/>
      <c r="L957" s="20"/>
      <c r="M957" s="20"/>
    </row>
    <row r="958" customFormat="false" ht="15" hidden="false" customHeight="false" outlineLevel="0" collapsed="false">
      <c r="B958" s="20"/>
      <c r="L958" s="20"/>
      <c r="M958" s="20"/>
    </row>
    <row r="959" customFormat="false" ht="15" hidden="false" customHeight="false" outlineLevel="0" collapsed="false">
      <c r="B959" s="20"/>
      <c r="L959" s="20"/>
      <c r="M959" s="20"/>
    </row>
    <row r="960" customFormat="false" ht="15" hidden="false" customHeight="false" outlineLevel="0" collapsed="false">
      <c r="B960" s="20"/>
      <c r="L960" s="20"/>
      <c r="M960" s="20"/>
    </row>
    <row r="961" customFormat="false" ht="15" hidden="false" customHeight="false" outlineLevel="0" collapsed="false">
      <c r="B961" s="20"/>
      <c r="L961" s="20"/>
      <c r="M961" s="20"/>
    </row>
    <row r="962" customFormat="false" ht="15" hidden="false" customHeight="false" outlineLevel="0" collapsed="false">
      <c r="B962" s="20"/>
      <c r="L962" s="20"/>
      <c r="M962" s="20"/>
    </row>
    <row r="963" customFormat="false" ht="15" hidden="false" customHeight="false" outlineLevel="0" collapsed="false">
      <c r="B963" s="20"/>
      <c r="L963" s="20"/>
      <c r="M963" s="20"/>
    </row>
    <row r="964" customFormat="false" ht="15" hidden="false" customHeight="false" outlineLevel="0" collapsed="false">
      <c r="B964" s="20"/>
      <c r="L964" s="20"/>
      <c r="M964" s="20"/>
    </row>
    <row r="965" customFormat="false" ht="15" hidden="false" customHeight="false" outlineLevel="0" collapsed="false">
      <c r="B965" s="20"/>
      <c r="L965" s="20"/>
      <c r="M965" s="20"/>
    </row>
    <row r="966" customFormat="false" ht="15" hidden="false" customHeight="false" outlineLevel="0" collapsed="false">
      <c r="B966" s="20"/>
      <c r="L966" s="20"/>
      <c r="M966" s="20"/>
    </row>
    <row r="967" customFormat="false" ht="15" hidden="false" customHeight="false" outlineLevel="0" collapsed="false">
      <c r="B967" s="20"/>
      <c r="L967" s="20"/>
      <c r="M967" s="20"/>
    </row>
    <row r="968" customFormat="false" ht="15" hidden="false" customHeight="false" outlineLevel="0" collapsed="false">
      <c r="B968" s="20"/>
      <c r="L968" s="20"/>
      <c r="M968" s="20"/>
    </row>
    <row r="969" customFormat="false" ht="15" hidden="false" customHeight="false" outlineLevel="0" collapsed="false">
      <c r="B969" s="20"/>
      <c r="L969" s="20"/>
      <c r="M969" s="20"/>
    </row>
    <row r="970" customFormat="false" ht="15" hidden="false" customHeight="false" outlineLevel="0" collapsed="false">
      <c r="B970" s="20"/>
      <c r="L970" s="20"/>
      <c r="M970" s="20"/>
    </row>
    <row r="971" customFormat="false" ht="15" hidden="false" customHeight="false" outlineLevel="0" collapsed="false">
      <c r="B971" s="20"/>
      <c r="L971" s="20"/>
      <c r="M971" s="20"/>
    </row>
    <row r="972" customFormat="false" ht="15" hidden="false" customHeight="false" outlineLevel="0" collapsed="false">
      <c r="B972" s="20"/>
      <c r="L972" s="20"/>
      <c r="M972" s="20"/>
    </row>
    <row r="973" customFormat="false" ht="15" hidden="false" customHeight="false" outlineLevel="0" collapsed="false">
      <c r="B973" s="20"/>
      <c r="L973" s="20"/>
      <c r="M973" s="20"/>
    </row>
    <row r="974" customFormat="false" ht="15" hidden="false" customHeight="false" outlineLevel="0" collapsed="false">
      <c r="B974" s="20"/>
      <c r="L974" s="20"/>
      <c r="M974" s="20"/>
    </row>
    <row r="975" customFormat="false" ht="15" hidden="false" customHeight="false" outlineLevel="0" collapsed="false">
      <c r="B975" s="20"/>
      <c r="L975" s="20"/>
      <c r="M975" s="20"/>
    </row>
    <row r="976" customFormat="false" ht="15" hidden="false" customHeight="false" outlineLevel="0" collapsed="false">
      <c r="B976" s="20"/>
      <c r="L976" s="20"/>
      <c r="M976" s="20"/>
    </row>
    <row r="977" customFormat="false" ht="15" hidden="false" customHeight="false" outlineLevel="0" collapsed="false">
      <c r="B977" s="20"/>
      <c r="L977" s="20"/>
      <c r="M977" s="20"/>
    </row>
    <row r="978" customFormat="false" ht="15" hidden="false" customHeight="false" outlineLevel="0" collapsed="false">
      <c r="B978" s="20"/>
      <c r="L978" s="20"/>
      <c r="M978" s="20"/>
    </row>
    <row r="979" customFormat="false" ht="15" hidden="false" customHeight="false" outlineLevel="0" collapsed="false">
      <c r="B979" s="20"/>
      <c r="L979" s="20"/>
      <c r="M979" s="20"/>
    </row>
    <row r="980" customFormat="false" ht="15" hidden="false" customHeight="false" outlineLevel="0" collapsed="false">
      <c r="B980" s="20"/>
      <c r="L980" s="20"/>
      <c r="M980" s="20"/>
    </row>
    <row r="981" customFormat="false" ht="15" hidden="false" customHeight="false" outlineLevel="0" collapsed="false">
      <c r="B981" s="20"/>
      <c r="L981" s="20"/>
      <c r="M981" s="20"/>
    </row>
    <row r="982" customFormat="false" ht="15" hidden="false" customHeight="false" outlineLevel="0" collapsed="false">
      <c r="B982" s="20"/>
      <c r="L982" s="20"/>
      <c r="M982" s="20"/>
    </row>
    <row r="983" customFormat="false" ht="15" hidden="false" customHeight="false" outlineLevel="0" collapsed="false">
      <c r="B983" s="20"/>
      <c r="L983" s="20"/>
      <c r="M983" s="20"/>
    </row>
    <row r="984" customFormat="false" ht="15" hidden="false" customHeight="false" outlineLevel="0" collapsed="false">
      <c r="B984" s="20"/>
      <c r="L984" s="20"/>
      <c r="M984" s="20"/>
    </row>
    <row r="985" customFormat="false" ht="15" hidden="false" customHeight="false" outlineLevel="0" collapsed="false">
      <c r="B985" s="20"/>
      <c r="L985" s="20"/>
      <c r="M985" s="20"/>
    </row>
    <row r="986" customFormat="false" ht="15" hidden="false" customHeight="false" outlineLevel="0" collapsed="false">
      <c r="B986" s="20"/>
      <c r="L986" s="20"/>
      <c r="M986" s="20"/>
    </row>
    <row r="987" customFormat="false" ht="15" hidden="false" customHeight="false" outlineLevel="0" collapsed="false">
      <c r="B987" s="20"/>
      <c r="L987" s="20"/>
      <c r="M987" s="20"/>
    </row>
    <row r="988" customFormat="false" ht="15" hidden="false" customHeight="false" outlineLevel="0" collapsed="false">
      <c r="B988" s="20"/>
      <c r="L988" s="20"/>
      <c r="M988" s="20"/>
    </row>
    <row r="989" customFormat="false" ht="15" hidden="false" customHeight="false" outlineLevel="0" collapsed="false">
      <c r="B989" s="20"/>
      <c r="L989" s="20"/>
      <c r="M989" s="20"/>
    </row>
    <row r="990" customFormat="false" ht="15" hidden="false" customHeight="false" outlineLevel="0" collapsed="false">
      <c r="B990" s="20"/>
      <c r="L990" s="20"/>
      <c r="M990" s="20"/>
    </row>
    <row r="991" customFormat="false" ht="15" hidden="false" customHeight="false" outlineLevel="0" collapsed="false">
      <c r="B991" s="20"/>
      <c r="L991" s="20"/>
      <c r="M991" s="20"/>
    </row>
    <row r="992" customFormat="false" ht="15" hidden="false" customHeight="false" outlineLevel="0" collapsed="false">
      <c r="B992" s="20"/>
      <c r="L992" s="20"/>
      <c r="M992" s="20"/>
    </row>
    <row r="993" customFormat="false" ht="15" hidden="false" customHeight="false" outlineLevel="0" collapsed="false">
      <c r="B993" s="20"/>
      <c r="L993" s="20"/>
      <c r="M993" s="20"/>
    </row>
    <row r="994" customFormat="false" ht="15" hidden="false" customHeight="false" outlineLevel="0" collapsed="false">
      <c r="B994" s="20"/>
      <c r="L994" s="20"/>
      <c r="M994" s="20"/>
    </row>
    <row r="995" customFormat="false" ht="15" hidden="false" customHeight="false" outlineLevel="0" collapsed="false">
      <c r="B995" s="20"/>
      <c r="L995" s="20"/>
      <c r="M995" s="20"/>
    </row>
    <row r="996" customFormat="false" ht="15" hidden="false" customHeight="false" outlineLevel="0" collapsed="false">
      <c r="B996" s="20"/>
      <c r="L996" s="20"/>
      <c r="M996" s="20"/>
    </row>
    <row r="997" customFormat="false" ht="15" hidden="false" customHeight="false" outlineLevel="0" collapsed="false">
      <c r="B997" s="20"/>
      <c r="L997" s="20"/>
      <c r="M997" s="20"/>
    </row>
    <row r="998" customFormat="false" ht="15" hidden="false" customHeight="false" outlineLevel="0" collapsed="false">
      <c r="B998" s="20"/>
      <c r="L998" s="20"/>
      <c r="M998" s="20"/>
    </row>
    <row r="999" customFormat="false" ht="15" hidden="false" customHeight="false" outlineLevel="0" collapsed="false">
      <c r="B999" s="20"/>
      <c r="L999" s="20"/>
      <c r="M999" s="20"/>
    </row>
    <row r="1000" customFormat="false" ht="15" hidden="false" customHeight="false" outlineLevel="0" collapsed="false">
      <c r="B1000" s="20"/>
      <c r="L1000" s="20"/>
      <c r="M1000" s="20"/>
    </row>
  </sheetData>
  <conditionalFormatting sqref="I2:I1000">
    <cfRule type="expression" priority="2" aboveAverage="0" equalAverage="0" bottom="0" percent="0" rank="0" text="" dxfId="0">
      <formula>ISNUMBER(SEARCH("CAO",I2))</formula>
    </cfRule>
  </conditionalFormatting>
  <conditionalFormatting sqref="J2:J1000">
    <cfRule type="expression" priority="3" aboveAverage="0" equalAverage="0" bottom="0" percent="0" rank="0" text="" dxfId="1">
      <formula>I2="Chờ tiếp nhận"</formula>
    </cfRule>
    <cfRule type="expression" priority="4" aboveAverage="0" equalAverage="0" bottom="0" percent="0" rank="0" text="" dxfId="2">
      <formula>J2="Đã cấp đủ"</formula>
    </cfRule>
  </conditionalFormatting>
  <dataValidations count="4">
    <dataValidation allowBlank="true" errorStyle="stop" operator="between" showDropDown="false" showErrorMessage="false" showInputMessage="false" sqref="C2:C1000" type="list">
      <formula1>dm_khoa!$B$3:$B$50</formula1>
      <formula2>0</formula2>
    </dataValidation>
    <dataValidation allowBlank="true" errorStyle="stop" operator="between" showDropDown="false" showErrorMessage="false" showInputMessage="false" sqref="D2:D1000" type="list">
      <formula1>dm_co_so!$A$2:$A$5</formula1>
      <formula2>0</formula2>
    </dataValidation>
    <dataValidation allowBlank="true" errorStyle="stop" operator="between" showDropDown="false" showErrorMessage="false" showInputMessage="false" sqref="J2:J1000" type="list">
      <formula1>"Chờ tiếp nhận,Đang xử lý,Đã cấp đủ,Cấp một phần,Từ chối,Tạm hoãn"</formula1>
      <formula2>0</formula2>
    </dataValidation>
    <dataValidation allowBlank="true" errorStyle="stop" operator="between" showDropDown="false" showErrorMessage="false" showInputMessage="false" sqref="K2:K1000" type="list">
      <formula1>dm_canbo!$A$2:$A$33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10"/>
    <col collapsed="false" customWidth="true" hidden="false" outlineLevel="0" max="8" min="6" style="0" width="18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35"/>
    <col collapsed="false" customWidth="true" hidden="false" outlineLevel="0" max="14" min="14" style="0" width="30"/>
    <col collapsed="false" customWidth="true" hidden="false" outlineLevel="0" max="15" min="15" style="0" width="16"/>
    <col collapsed="false" customWidth="true" hidden="false" outlineLevel="0" max="16" min="16" style="0" width="24"/>
    <col collapsed="false" customWidth="true" hidden="false" outlineLevel="0" max="17" min="17" style="0" width="10"/>
  </cols>
  <sheetData>
    <row r="1" customFormat="false" ht="31.5" hidden="false" customHeight="true" outlineLevel="0" collapsed="false">
      <c r="A1" s="9" t="s">
        <v>166</v>
      </c>
      <c r="B1" s="9" t="s">
        <v>194</v>
      </c>
      <c r="C1" s="9" t="s">
        <v>195</v>
      </c>
      <c r="D1" s="9" t="s">
        <v>196</v>
      </c>
      <c r="E1" s="9" t="s">
        <v>170</v>
      </c>
      <c r="F1" s="9" t="s">
        <v>171</v>
      </c>
      <c r="G1" s="9" t="s">
        <v>197</v>
      </c>
      <c r="H1" s="9" t="s">
        <v>198</v>
      </c>
      <c r="I1" s="9" t="s">
        <v>199</v>
      </c>
      <c r="J1" s="9" t="s">
        <v>200</v>
      </c>
      <c r="K1" s="9" t="s">
        <v>201</v>
      </c>
      <c r="L1" s="9" t="s">
        <v>202</v>
      </c>
      <c r="M1" s="9" t="s">
        <v>203</v>
      </c>
      <c r="N1" s="9" t="s">
        <v>204</v>
      </c>
      <c r="O1" s="9" t="s">
        <v>205</v>
      </c>
      <c r="P1" s="9" t="s">
        <v>40</v>
      </c>
      <c r="Q1" s="9" t="s">
        <v>206</v>
      </c>
    </row>
    <row r="2" customFormat="false" ht="15" hidden="false" customHeight="false" outlineLevel="0" collapsed="false">
      <c r="A2" s="18" t="n">
        <v>1</v>
      </c>
      <c r="B2" s="14"/>
      <c r="C2" s="15"/>
      <c r="D2" s="15"/>
      <c r="E2" s="14"/>
      <c r="F2" s="14"/>
      <c r="G2" s="14"/>
      <c r="H2" s="14"/>
      <c r="I2" s="21"/>
      <c r="J2" s="19"/>
      <c r="K2" s="19"/>
      <c r="L2" s="19"/>
      <c r="M2" s="15"/>
      <c r="N2" s="15"/>
      <c r="O2" s="16" t="str">
        <f aca="false">IFERROR(IF(VLOOKUP(D2,dm_khoa!$B$3:$D$50,3,FALSE())="TRUE","CAO","Bình thường"),"")</f>
        <v/>
      </c>
      <c r="P2" s="15"/>
      <c r="Q2" s="16" t="str">
        <f aca="false">IF(I2&gt;=1,"X","")</f>
        <v/>
      </c>
    </row>
    <row r="3" customFormat="false" ht="15" hidden="false" customHeight="false" outlineLevel="0" collapsed="false">
      <c r="A3" s="18" t="n">
        <v>2</v>
      </c>
      <c r="B3" s="14"/>
      <c r="C3" s="15"/>
      <c r="D3" s="15"/>
      <c r="E3" s="14"/>
      <c r="F3" s="14"/>
      <c r="G3" s="14"/>
      <c r="H3" s="14"/>
      <c r="I3" s="21"/>
      <c r="J3" s="19"/>
      <c r="K3" s="19"/>
      <c r="L3" s="19"/>
      <c r="M3" s="15"/>
      <c r="N3" s="15"/>
      <c r="O3" s="16" t="str">
        <f aca="false">IFERROR(IF(VLOOKUP(D3,dm_khoa!$B$3:$D$50,3,FALSE())="TRUE","CAO","Bình thường"),"")</f>
        <v/>
      </c>
      <c r="P3" s="15"/>
      <c r="Q3" s="16" t="str">
        <f aca="false">IF(I3&gt;=1,"X","")</f>
        <v/>
      </c>
    </row>
    <row r="4" customFormat="false" ht="15" hidden="false" customHeight="false" outlineLevel="0" collapsed="false">
      <c r="A4" s="18" t="n">
        <v>3</v>
      </c>
      <c r="B4" s="14"/>
      <c r="C4" s="15"/>
      <c r="D4" s="15"/>
      <c r="E4" s="14"/>
      <c r="F4" s="14"/>
      <c r="G4" s="14"/>
      <c r="H4" s="14"/>
      <c r="I4" s="21"/>
      <c r="J4" s="19"/>
      <c r="K4" s="19"/>
      <c r="L4" s="19"/>
      <c r="M4" s="15"/>
      <c r="N4" s="15"/>
      <c r="O4" s="16" t="str">
        <f aca="false">IFERROR(IF(VLOOKUP(D4,dm_khoa!$B$3:$D$50,3,FALSE())="TRUE","CAO","Bình thường"),"")</f>
        <v/>
      </c>
      <c r="P4" s="15"/>
      <c r="Q4" s="16" t="str">
        <f aca="false">IF(I4&gt;=1,"X","")</f>
        <v/>
      </c>
    </row>
    <row r="5" customFormat="false" ht="15" hidden="false" customHeight="false" outlineLevel="0" collapsed="false">
      <c r="A5" s="18" t="n">
        <v>4</v>
      </c>
      <c r="B5" s="14"/>
      <c r="C5" s="15"/>
      <c r="D5" s="15"/>
      <c r="E5" s="14"/>
      <c r="F5" s="14"/>
      <c r="G5" s="14"/>
      <c r="H5" s="14"/>
      <c r="I5" s="21"/>
      <c r="J5" s="19"/>
      <c r="K5" s="19"/>
      <c r="L5" s="19"/>
      <c r="M5" s="15"/>
      <c r="N5" s="15"/>
      <c r="O5" s="16" t="str">
        <f aca="false">IFERROR(IF(VLOOKUP(D5,dm_khoa!$B$3:$D$50,3,FALSE())="TRUE","CAO","Bình thường"),"")</f>
        <v/>
      </c>
      <c r="P5" s="15"/>
      <c r="Q5" s="16" t="str">
        <f aca="false">IF(I5&gt;=1,"X","")</f>
        <v/>
      </c>
    </row>
    <row r="6" customFormat="false" ht="15" hidden="false" customHeight="false" outlineLevel="0" collapsed="false">
      <c r="A6" s="18" t="n">
        <v>5</v>
      </c>
      <c r="B6" s="14"/>
      <c r="C6" s="15"/>
      <c r="D6" s="15"/>
      <c r="E6" s="14"/>
      <c r="F6" s="14"/>
      <c r="G6" s="14"/>
      <c r="H6" s="14"/>
      <c r="I6" s="21"/>
      <c r="J6" s="19"/>
      <c r="K6" s="19"/>
      <c r="L6" s="19"/>
      <c r="M6" s="15"/>
      <c r="N6" s="15"/>
      <c r="O6" s="16" t="str">
        <f aca="false">IFERROR(IF(VLOOKUP(D6,dm_khoa!$B$3:$D$50,3,FALSE())="TRUE","CAO","Bình thường"),"")</f>
        <v/>
      </c>
      <c r="P6" s="15"/>
      <c r="Q6" s="16" t="str">
        <f aca="false">IF(I6&gt;=1,"X","")</f>
        <v/>
      </c>
    </row>
    <row r="7" customFormat="false" ht="15" hidden="false" customHeight="false" outlineLevel="0" collapsed="false">
      <c r="A7" s="18" t="n">
        <v>6</v>
      </c>
      <c r="B7" s="14"/>
      <c r="C7" s="15"/>
      <c r="D7" s="15"/>
      <c r="E7" s="14"/>
      <c r="F7" s="14"/>
      <c r="G7" s="14"/>
      <c r="H7" s="14"/>
      <c r="I7" s="21"/>
      <c r="J7" s="19"/>
      <c r="K7" s="19"/>
      <c r="L7" s="19"/>
      <c r="M7" s="15"/>
      <c r="N7" s="15"/>
      <c r="O7" s="16" t="str">
        <f aca="false">IFERROR(IF(VLOOKUP(D7,dm_khoa!$B$3:$D$50,3,FALSE())="TRUE","CAO","Bình thường"),"")</f>
        <v/>
      </c>
      <c r="P7" s="15"/>
      <c r="Q7" s="16" t="str">
        <f aca="false">IF(I7&gt;=1,"X","")</f>
        <v/>
      </c>
    </row>
    <row r="8" customFormat="false" ht="15" hidden="false" customHeight="false" outlineLevel="0" collapsed="false">
      <c r="A8" s="18" t="n">
        <v>7</v>
      </c>
      <c r="B8" s="14"/>
      <c r="C8" s="15"/>
      <c r="D8" s="15"/>
      <c r="E8" s="14"/>
      <c r="F8" s="14"/>
      <c r="G8" s="14"/>
      <c r="H8" s="14"/>
      <c r="I8" s="21"/>
      <c r="J8" s="19"/>
      <c r="K8" s="19"/>
      <c r="L8" s="19"/>
      <c r="M8" s="15"/>
      <c r="N8" s="15"/>
      <c r="O8" s="16" t="str">
        <f aca="false">IFERROR(IF(VLOOKUP(D8,dm_khoa!$B$3:$D$50,3,FALSE())="TRUE","CAO","Bình thường"),"")</f>
        <v/>
      </c>
      <c r="P8" s="15"/>
      <c r="Q8" s="16" t="str">
        <f aca="false">IF(I8&gt;=1,"X","")</f>
        <v/>
      </c>
    </row>
    <row r="9" customFormat="false" ht="15" hidden="false" customHeight="false" outlineLevel="0" collapsed="false">
      <c r="A9" s="18" t="n">
        <v>8</v>
      </c>
      <c r="B9" s="14"/>
      <c r="C9" s="15"/>
      <c r="D9" s="15"/>
      <c r="E9" s="14"/>
      <c r="F9" s="14"/>
      <c r="G9" s="14"/>
      <c r="H9" s="14"/>
      <c r="I9" s="21"/>
      <c r="J9" s="19"/>
      <c r="K9" s="19"/>
      <c r="L9" s="19"/>
      <c r="M9" s="15"/>
      <c r="N9" s="15"/>
      <c r="O9" s="16" t="str">
        <f aca="false">IFERROR(IF(VLOOKUP(D9,dm_khoa!$B$3:$D$50,3,FALSE())="TRUE","CAO","Bình thường"),"")</f>
        <v/>
      </c>
      <c r="P9" s="15"/>
      <c r="Q9" s="16" t="str">
        <f aca="false">IF(I9&gt;=1,"X","")</f>
        <v/>
      </c>
    </row>
    <row r="10" customFormat="false" ht="15" hidden="false" customHeight="false" outlineLevel="0" collapsed="false">
      <c r="A10" s="18" t="n">
        <v>9</v>
      </c>
      <c r="B10" s="14"/>
      <c r="C10" s="15"/>
      <c r="D10" s="15"/>
      <c r="E10" s="14"/>
      <c r="F10" s="14"/>
      <c r="G10" s="14"/>
      <c r="H10" s="14"/>
      <c r="I10" s="21"/>
      <c r="J10" s="19"/>
      <c r="K10" s="19"/>
      <c r="L10" s="19"/>
      <c r="M10" s="15"/>
      <c r="N10" s="15"/>
      <c r="O10" s="16" t="str">
        <f aca="false">IFERROR(IF(VLOOKUP(D10,dm_khoa!$B$3:$D$50,3,FALSE())="TRUE","CAO","Bình thường"),"")</f>
        <v/>
      </c>
      <c r="P10" s="15"/>
      <c r="Q10" s="16" t="str">
        <f aca="false">IF(I10&gt;=1,"X","")</f>
        <v/>
      </c>
    </row>
    <row r="11" customFormat="false" ht="15" hidden="false" customHeight="false" outlineLevel="0" collapsed="false">
      <c r="A11" s="18" t="n">
        <v>10</v>
      </c>
      <c r="B11" s="14"/>
      <c r="C11" s="15"/>
      <c r="D11" s="15"/>
      <c r="E11" s="14"/>
      <c r="F11" s="14"/>
      <c r="G11" s="14"/>
      <c r="H11" s="14"/>
      <c r="I11" s="21"/>
      <c r="J11" s="19"/>
      <c r="K11" s="19"/>
      <c r="L11" s="19"/>
      <c r="M11" s="15"/>
      <c r="N11" s="15"/>
      <c r="O11" s="16" t="str">
        <f aca="false">IFERROR(IF(VLOOKUP(D11,dm_khoa!$B$3:$D$50,3,FALSE())="TRUE","CAO","Bình thường"),"")</f>
        <v/>
      </c>
      <c r="P11" s="15"/>
      <c r="Q11" s="16" t="str">
        <f aca="false">IF(I11&gt;=1,"X","")</f>
        <v/>
      </c>
    </row>
  </sheetData>
  <conditionalFormatting sqref="O2:O1000">
    <cfRule type="expression" priority="2" aboveAverage="0" equalAverage="0" bottom="0" percent="0" rank="0" text="" dxfId="0">
      <formula>ISNUMBER(SEARCH("CAO",O2))</formula>
    </cfRule>
  </conditionalFormatting>
  <conditionalFormatting sqref="H2:H1000">
    <cfRule type="expression" priority="3" aboveAverage="0" equalAverage="0" bottom="0" percent="0" rank="0" text="" dxfId="0">
      <formula>H2="Vướng mắc"</formula>
    </cfRule>
    <cfRule type="expression" priority="4" aboveAverage="0" equalAverage="0" bottom="0" percent="0" rank="0" text="" dxfId="2">
      <formula>H2="Đã hoàn thành"</formula>
    </cfRule>
  </conditionalFormatting>
  <dataValidations count="5">
    <dataValidation allowBlank="true" errorStyle="stop" operator="between" showDropDown="false" showErrorMessage="false" showInputMessage="false" sqref="B2:B1000" type="list">
      <formula1>"VT phẫu thuật,VT chẩn đoán,Hoá chất XN,Hoá chất GPB,Vật tư hấp tiệt khuẩn,Vật tư khác"</formula1>
      <formula2>0</formula2>
    </dataValidation>
    <dataValidation allowBlank="true" errorStyle="stop" operator="between" showDropDown="false" showErrorMessage="false" showInputMessage="false" sqref="D2:D1000" type="list">
      <formula1>dm_khoa!$B$3:$B$50</formula1>
      <formula2>0</formula2>
    </dataValidation>
    <dataValidation allowBlank="true" errorStyle="stop" operator="between" showDropDown="false" showErrorMessage="false" showInputMessage="false" sqref="E2:E1000" type="list">
      <formula1>dm_co_so!$A$2:$A$5</formula1>
      <formula2>0</formula2>
    </dataValidation>
    <dataValidation allowBlank="true" errorStyle="stop" operator="between" showDropDown="false" showErrorMessage="false" showInputMessage="false" sqref="F2:G1000" type="list">
      <formula1>dm_canbo!$A$2:$A$33</formula1>
      <formula2>0</formula2>
    </dataValidation>
    <dataValidation allowBlank="true" errorStyle="stop" operator="between" showDropDown="false" showErrorMessage="false" showInputMessage="false" sqref="H2:H1000" type="list">
      <formula1>"Chưa khởi động,Đang lập KH,Đang đấu thầu,Chờ phê duyệt,Đang ký HĐ,Đang giao hàng,Đã hoàn thành,Tạm dừng,Vướng mắc"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40"/>
    <col collapsed="false" customWidth="true" hidden="false" outlineLevel="0" max="3" min="3" style="0" width="16"/>
  </cols>
  <sheetData>
    <row r="2" customFormat="false" ht="19.7" hidden="false" customHeight="false" outlineLevel="0" collapsed="false">
      <c r="B2" s="1" t="s">
        <v>207</v>
      </c>
      <c r="C2" s="1"/>
      <c r="D2" s="1"/>
      <c r="E2" s="1"/>
      <c r="F2" s="1"/>
      <c r="G2" s="1"/>
      <c r="H2" s="1"/>
    </row>
    <row r="4" customFormat="false" ht="15" hidden="false" customHeight="false" outlineLevel="0" collapsed="false">
      <c r="B4" s="4" t="s">
        <v>208</v>
      </c>
      <c r="C4" s="22" t="n">
        <f aca="true">NOW()</f>
        <v>46140.7571163531</v>
      </c>
    </row>
    <row r="6" customFormat="false" ht="15" hidden="false" customHeight="false" outlineLevel="0" collapsed="false">
      <c r="B6" s="23" t="s">
        <v>209</v>
      </c>
      <c r="C6" s="23"/>
      <c r="D6" s="23"/>
      <c r="E6" s="23"/>
      <c r="F6" s="23"/>
      <c r="G6" s="23"/>
      <c r="H6" s="23"/>
    </row>
    <row r="7" customFormat="false" ht="15" hidden="false" customHeight="false" outlineLevel="0" collapsed="false">
      <c r="B7" s="10" t="s">
        <v>210</v>
      </c>
      <c r="C7" s="18" t="n">
        <f aca="false">IFERROR(COUNTA('nhóm kỹ thuật'!b2:b1000),0)</f>
        <v>1</v>
      </c>
    </row>
    <row r="8" customFormat="false" ht="15" hidden="false" customHeight="false" outlineLevel="0" collapsed="false">
      <c r="B8" s="10" t="s">
        <v>206</v>
      </c>
      <c r="C8" s="18" t="n">
        <f aca="false">IFERROR(COUNTIF('nhóm kỹ thuật'!s2:s1000,"X"),0)</f>
        <v>0</v>
      </c>
    </row>
    <row r="9" customFormat="false" ht="15" hidden="false" customHeight="false" outlineLevel="0" collapsed="false">
      <c r="B9" s="10" t="s">
        <v>211</v>
      </c>
      <c r="C9" s="18" t="n">
        <f aca="false">IFERROR(C7-C8,0)</f>
        <v>1</v>
      </c>
    </row>
    <row r="10" customFormat="false" ht="15" hidden="false" customHeight="false" outlineLevel="0" collapsed="false">
      <c r="B10" s="24" t="s">
        <v>212</v>
      </c>
      <c r="C10" s="18" t="n">
        <f aca="false">IFERROR(COUNTIF('nhóm kỹ thuật'!r2:r1000,"CAO"),0)</f>
        <v>0</v>
      </c>
    </row>
    <row r="11" customFormat="false" ht="15" hidden="false" customHeight="false" outlineLevel="0" collapsed="false">
      <c r="B11" s="10"/>
      <c r="C11" s="18"/>
    </row>
    <row r="12" customFormat="false" ht="15" hidden="false" customHeight="false" outlineLevel="0" collapsed="false">
      <c r="B12" s="25" t="s">
        <v>213</v>
      </c>
      <c r="C12" s="25"/>
      <c r="D12" s="25"/>
      <c r="E12" s="25"/>
      <c r="F12" s="25"/>
      <c r="G12" s="25"/>
      <c r="H12" s="25"/>
    </row>
    <row r="13" customFormat="false" ht="15" hidden="false" customHeight="false" outlineLevel="0" collapsed="false">
      <c r="B13" s="10" t="s">
        <v>214</v>
      </c>
      <c r="C13" s="18" t="n">
        <f aca="false">IFERROR(COUNTA('nhóm hồ sơ'!b2:b1000),0)</f>
        <v>1</v>
      </c>
    </row>
    <row r="14" customFormat="false" ht="15" hidden="false" customHeight="false" outlineLevel="0" collapsed="false">
      <c r="B14" s="10" t="s">
        <v>215</v>
      </c>
      <c r="C14" s="18" t="n">
        <f aca="false">IFERROR(COUNTIF('nhóm hồ sơ'!h2:h1000,"Vướng mắc"),0)</f>
        <v>0</v>
      </c>
    </row>
    <row r="15" customFormat="false" ht="15" hidden="false" customHeight="false" outlineLevel="0" collapsed="false">
      <c r="B15" s="10"/>
      <c r="C15" s="18"/>
    </row>
    <row r="16" customFormat="false" ht="15" hidden="false" customHeight="false" outlineLevel="0" collapsed="false">
      <c r="B16" s="25" t="s">
        <v>216</v>
      </c>
      <c r="C16" s="25"/>
      <c r="D16" s="25"/>
      <c r="E16" s="25"/>
      <c r="F16" s="25"/>
      <c r="G16" s="25"/>
      <c r="H16" s="25"/>
    </row>
    <row r="17" customFormat="false" ht="15" hidden="false" customHeight="false" outlineLevel="0" collapsed="false">
      <c r="B17" s="10" t="s">
        <v>210</v>
      </c>
      <c r="C17" s="18" t="n">
        <f aca="false">COUNTA('VTTH (mẫu refactor)'!C2:C1000)</f>
        <v>0</v>
      </c>
    </row>
    <row r="18" customFormat="false" ht="15" hidden="false" customHeight="false" outlineLevel="0" collapsed="false">
      <c r="B18" s="10" t="s">
        <v>217</v>
      </c>
      <c r="C18" s="18" t="n">
        <f aca="false">COUNTIF('VTTH (mẫu refactor)'!O2:O1000,"CAO")</f>
        <v>0</v>
      </c>
    </row>
    <row r="19" customFormat="false" ht="15" hidden="false" customHeight="false" outlineLevel="0" collapsed="false">
      <c r="B19" s="10" t="s">
        <v>218</v>
      </c>
      <c r="C19" s="18" t="n">
        <f aca="false">COUNTIF('VTTH (mẫu refactor)'!H2:H1000,"Vướng mắc")+COUNTIF('VTTH (mẫu refactor)'!H2:H1000,"Chờ phê duyệt")</f>
        <v>0</v>
      </c>
    </row>
    <row r="20" customFormat="false" ht="15" hidden="false" customHeight="false" outlineLevel="0" collapsed="false">
      <c r="B20" s="10"/>
      <c r="C20" s="18"/>
    </row>
    <row r="21" customFormat="false" ht="15" hidden="false" customHeight="false" outlineLevel="0" collapsed="false">
      <c r="B21" s="25" t="s">
        <v>219</v>
      </c>
      <c r="C21" s="25"/>
      <c r="D21" s="25"/>
      <c r="E21" s="25"/>
      <c r="F21" s="25"/>
      <c r="G21" s="25"/>
      <c r="H21" s="25"/>
    </row>
    <row r="22" customFormat="false" ht="15" hidden="false" customHeight="false" outlineLevel="0" collapsed="false">
      <c r="B22" s="24" t="s">
        <v>220</v>
      </c>
      <c r="C22" s="18" t="n">
        <f aca="false">COUNTIF('5A. Tổ kho - Tồn'!N2:N1000,"ĐỎ*")</f>
        <v>10</v>
      </c>
    </row>
    <row r="23" customFormat="false" ht="15" hidden="false" customHeight="false" outlineLevel="0" collapsed="false">
      <c r="B23" s="10" t="s">
        <v>221</v>
      </c>
      <c r="C23" s="18" t="n">
        <f aca="false">COUNTIF('5A. Tổ kho - Tồn'!N2:N1000,"VÀNG*")</f>
        <v>0</v>
      </c>
    </row>
    <row r="24" customFormat="false" ht="15" hidden="false" customHeight="false" outlineLevel="0" collapsed="false">
      <c r="B24" s="10" t="s">
        <v>222</v>
      </c>
      <c r="C24" s="18" t="n">
        <f aca="false">COUNTIF('5B. Tổ kho - Đề xuất'!J2:J1000,"Chờ tiếp nhận")</f>
        <v>0</v>
      </c>
    </row>
    <row r="25" customFormat="false" ht="15" hidden="false" customHeight="false" outlineLevel="0" collapsed="false">
      <c r="B25" s="24" t="s">
        <v>223</v>
      </c>
      <c r="C25" s="18" t="n">
        <f aca="false">COUNTIFS('5B. Tổ kho - Đề xuất'!I2:I1000,"CAO*",'5B. Tổ kho - Đề xuất'!J2:J1000,"&lt;&gt;Đã cấp đủ")</f>
        <v>0</v>
      </c>
    </row>
  </sheetData>
  <mergeCells count="5">
    <mergeCell ref="B2:H2"/>
    <mergeCell ref="B6:H6"/>
    <mergeCell ref="B12:H12"/>
    <mergeCell ref="B16:H16"/>
    <mergeCell ref="B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2026-04-28T18:10:14Z</dcterms:created>
  <dc:creator>openpyxl</dc:creator>
  <dc:description/>
  <dc:language>en-US</dc:language>
  <cp:lastModifiedBy/>
  <dcterms:modified xsi:type="dcterms:W3CDTF">2026-04-28T18:10:14Z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